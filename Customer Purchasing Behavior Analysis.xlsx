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4f561cbe24467507/Documents/"/>
    </mc:Choice>
  </mc:AlternateContent>
  <xr:revisionPtr revIDLastSave="535" documentId="8_{10ED0DED-C0BF-40E2-A887-D4D9FBE1F268}" xr6:coauthVersionLast="47" xr6:coauthVersionMax="47" xr10:uidLastSave="{C304F3AA-C8BD-4007-8919-0D2A0DFE61F5}"/>
  <bookViews>
    <workbookView xWindow="-110" yWindow="-110" windowWidth="19420" windowHeight="10300" xr2:uid="{8330C715-990C-4FE4-A1C6-DB24C5473B9D}"/>
  </bookViews>
  <sheets>
    <sheet name="Project Summary" sheetId="18" r:id="rId1"/>
    <sheet name="PQ_Cleaned_Data" sheetId="3" r:id="rId2"/>
    <sheet name="tbl_raw" sheetId="2" r:id="rId3"/>
    <sheet name="Customer Purchasing Behaviors" sheetId="1" r:id="rId4"/>
    <sheet name="Pivot_Region_Revenue" sheetId="7" r:id="rId5"/>
    <sheet name="Pivot_Age_Customers" sheetId="9" r:id="rId6"/>
    <sheet name="Pivot_Income_Revenue" sheetId="10" r:id="rId7"/>
    <sheet name="PivotCustomer Status Count" sheetId="14" r:id="rId8"/>
    <sheet name="Dashboard" sheetId="15" r:id="rId9"/>
    <sheet name="Insights" sheetId="16" r:id="rId10"/>
    <sheet name="Feature_Engineering" sheetId="4" r:id="rId11"/>
    <sheet name="Summary" sheetId="5" r:id="rId12"/>
    <sheet name="Recomendations" sheetId="17" r:id="rId13"/>
    <sheet name="Sheet4" sheetId="19" r:id="rId14"/>
  </sheets>
  <definedNames>
    <definedName name="_xlcn.WorksheetConnection_CustomerPurchasingBehaviors.xlsxTable11" hidden="1">Table1[]</definedName>
    <definedName name="_xlcn.WorksheetConnection_Feature_EngineeringK1M2391" hidden="1">Feature_Engineering!$K$1:$M$239</definedName>
    <definedName name="ExternalData_1" localSheetId="2" hidden="1">tbl_raw!$A$1:$J$239</definedName>
    <definedName name="ExternalData_2" localSheetId="10" hidden="1">Feature_Engineering!$A$1:$J$239</definedName>
    <definedName name="ExternalData_2" localSheetId="1" hidden="1">PQ_Cleaned_Data!$A$1:$J$239</definedName>
    <definedName name="Slicer_agegroup">#N/A</definedName>
    <definedName name="Slicer_Customer_Status">#N/A</definedName>
    <definedName name="Slicer_Incomegroup">#N/A</definedName>
    <definedName name="Slicer_region">#N/A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Feature_Engineering!$K$1:$M$239"/>
          <x15:modelTable id="Table1" name="Table1" connection="WorksheetConnection_Customer Purchasing Behavior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B5" i="5"/>
  <c r="B4" i="5"/>
  <c r="B3" i="5"/>
  <c r="B2" i="5"/>
  <c r="B1" i="5"/>
  <c r="K17" i="4"/>
  <c r="M17" i="4" s="1"/>
  <c r="K18" i="4"/>
  <c r="M18" i="4" s="1"/>
  <c r="K19" i="4"/>
  <c r="K20" i="4"/>
  <c r="K21" i="4"/>
  <c r="K22" i="4"/>
  <c r="K23" i="4"/>
  <c r="K24" i="4"/>
  <c r="K25" i="4"/>
  <c r="K26" i="4"/>
  <c r="K27" i="4"/>
  <c r="K28" i="4"/>
  <c r="M28" i="4" s="1"/>
  <c r="K29" i="4"/>
  <c r="M29" i="4" s="1"/>
  <c r="K30" i="4"/>
  <c r="M30" i="4" s="1"/>
  <c r="K31" i="4"/>
  <c r="K32" i="4"/>
  <c r="K33" i="4"/>
  <c r="K34" i="4"/>
  <c r="K35" i="4"/>
  <c r="K36" i="4"/>
  <c r="K37" i="4"/>
  <c r="K38" i="4"/>
  <c r="K39" i="4"/>
  <c r="K40" i="4"/>
  <c r="K41" i="4"/>
  <c r="M41" i="4" s="1"/>
  <c r="K42" i="4"/>
  <c r="M42" i="4" s="1"/>
  <c r="K43" i="4"/>
  <c r="K44" i="4"/>
  <c r="K45" i="4"/>
  <c r="K46" i="4"/>
  <c r="K47" i="4"/>
  <c r="K48" i="4"/>
  <c r="K49" i="4"/>
  <c r="K50" i="4"/>
  <c r="K51" i="4"/>
  <c r="K52" i="4"/>
  <c r="M52" i="4" s="1"/>
  <c r="K53" i="4"/>
  <c r="M53" i="4" s="1"/>
  <c r="K54" i="4"/>
  <c r="M54" i="4" s="1"/>
  <c r="K55" i="4"/>
  <c r="K56" i="4"/>
  <c r="K57" i="4"/>
  <c r="K58" i="4"/>
  <c r="K59" i="4"/>
  <c r="K60" i="4"/>
  <c r="K61" i="4"/>
  <c r="K62" i="4"/>
  <c r="K63" i="4"/>
  <c r="K64" i="4"/>
  <c r="M64" i="4" s="1"/>
  <c r="K65" i="4"/>
  <c r="M65" i="4" s="1"/>
  <c r="K66" i="4"/>
  <c r="M66" i="4" s="1"/>
  <c r="K67" i="4"/>
  <c r="K68" i="4"/>
  <c r="K69" i="4"/>
  <c r="K70" i="4"/>
  <c r="K71" i="4"/>
  <c r="K72" i="4"/>
  <c r="K73" i="4"/>
  <c r="K74" i="4"/>
  <c r="K75" i="4"/>
  <c r="K76" i="4"/>
  <c r="K77" i="4"/>
  <c r="M77" i="4" s="1"/>
  <c r="K78" i="4"/>
  <c r="M78" i="4" s="1"/>
  <c r="K79" i="4"/>
  <c r="K80" i="4"/>
  <c r="K81" i="4"/>
  <c r="K82" i="4"/>
  <c r="K83" i="4"/>
  <c r="K84" i="4"/>
  <c r="K85" i="4"/>
  <c r="K86" i="4"/>
  <c r="K87" i="4"/>
  <c r="K88" i="4"/>
  <c r="M88" i="4" s="1"/>
  <c r="K89" i="4"/>
  <c r="M89" i="4" s="1"/>
  <c r="K90" i="4"/>
  <c r="M90" i="4" s="1"/>
  <c r="K91" i="4"/>
  <c r="K92" i="4"/>
  <c r="K93" i="4"/>
  <c r="K94" i="4"/>
  <c r="K95" i="4"/>
  <c r="K96" i="4"/>
  <c r="K97" i="4"/>
  <c r="K98" i="4"/>
  <c r="K99" i="4"/>
  <c r="K100" i="4"/>
  <c r="M100" i="4" s="1"/>
  <c r="K101" i="4"/>
  <c r="M101" i="4" s="1"/>
  <c r="K102" i="4"/>
  <c r="M102" i="4" s="1"/>
  <c r="K103" i="4"/>
  <c r="K104" i="4"/>
  <c r="K105" i="4"/>
  <c r="K106" i="4"/>
  <c r="K107" i="4"/>
  <c r="K108" i="4"/>
  <c r="K109" i="4"/>
  <c r="K110" i="4"/>
  <c r="K111" i="4"/>
  <c r="K112" i="4"/>
  <c r="K113" i="4"/>
  <c r="M113" i="4" s="1"/>
  <c r="K114" i="4"/>
  <c r="M114" i="4" s="1"/>
  <c r="K115" i="4"/>
  <c r="K116" i="4"/>
  <c r="K117" i="4"/>
  <c r="K118" i="4"/>
  <c r="K119" i="4"/>
  <c r="K120" i="4"/>
  <c r="K121" i="4"/>
  <c r="K122" i="4"/>
  <c r="K123" i="4"/>
  <c r="K124" i="4"/>
  <c r="M124" i="4" s="1"/>
  <c r="K125" i="4"/>
  <c r="M125" i="4" s="1"/>
  <c r="K126" i="4"/>
  <c r="M126" i="4" s="1"/>
  <c r="K127" i="4"/>
  <c r="K128" i="4"/>
  <c r="K129" i="4"/>
  <c r="K130" i="4"/>
  <c r="K131" i="4"/>
  <c r="K132" i="4"/>
  <c r="K133" i="4"/>
  <c r="K134" i="4"/>
  <c r="K135" i="4"/>
  <c r="K136" i="4"/>
  <c r="M136" i="4" s="1"/>
  <c r="K137" i="4"/>
  <c r="M137" i="4" s="1"/>
  <c r="K138" i="4"/>
  <c r="M138" i="4" s="1"/>
  <c r="K139" i="4"/>
  <c r="K140" i="4"/>
  <c r="K141" i="4"/>
  <c r="K142" i="4"/>
  <c r="K143" i="4"/>
  <c r="K144" i="4"/>
  <c r="K145" i="4"/>
  <c r="K146" i="4"/>
  <c r="K147" i="4"/>
  <c r="K148" i="4"/>
  <c r="K149" i="4"/>
  <c r="M149" i="4" s="1"/>
  <c r="K150" i="4"/>
  <c r="M150" i="4" s="1"/>
  <c r="K151" i="4"/>
  <c r="K152" i="4"/>
  <c r="K153" i="4"/>
  <c r="K154" i="4"/>
  <c r="K155" i="4"/>
  <c r="K156" i="4"/>
  <c r="K157" i="4"/>
  <c r="K158" i="4"/>
  <c r="K159" i="4"/>
  <c r="K160" i="4"/>
  <c r="M160" i="4" s="1"/>
  <c r="K161" i="4"/>
  <c r="M161" i="4" s="1"/>
  <c r="K162" i="4"/>
  <c r="M162" i="4" s="1"/>
  <c r="K163" i="4"/>
  <c r="K164" i="4"/>
  <c r="K165" i="4"/>
  <c r="K166" i="4"/>
  <c r="K167" i="4"/>
  <c r="K168" i="4"/>
  <c r="K169" i="4"/>
  <c r="K170" i="4"/>
  <c r="K171" i="4"/>
  <c r="K172" i="4"/>
  <c r="M172" i="4" s="1"/>
  <c r="K173" i="4"/>
  <c r="M173" i="4" s="1"/>
  <c r="K174" i="4"/>
  <c r="M174" i="4" s="1"/>
  <c r="K175" i="4"/>
  <c r="K176" i="4"/>
  <c r="K177" i="4"/>
  <c r="K178" i="4"/>
  <c r="K179" i="4"/>
  <c r="K180" i="4"/>
  <c r="K181" i="4"/>
  <c r="K182" i="4"/>
  <c r="K183" i="4"/>
  <c r="K184" i="4"/>
  <c r="K185" i="4"/>
  <c r="M185" i="4" s="1"/>
  <c r="K186" i="4"/>
  <c r="M186" i="4" s="1"/>
  <c r="K187" i="4"/>
  <c r="K188" i="4"/>
  <c r="K189" i="4"/>
  <c r="K190" i="4"/>
  <c r="K191" i="4"/>
  <c r="K192" i="4"/>
  <c r="K193" i="4"/>
  <c r="K194" i="4"/>
  <c r="K195" i="4"/>
  <c r="K196" i="4"/>
  <c r="M196" i="4" s="1"/>
  <c r="K197" i="4"/>
  <c r="M197" i="4" s="1"/>
  <c r="K198" i="4"/>
  <c r="M198" i="4" s="1"/>
  <c r="K199" i="4"/>
  <c r="K200" i="4"/>
  <c r="K201" i="4"/>
  <c r="K202" i="4"/>
  <c r="K203" i="4"/>
  <c r="K204" i="4"/>
  <c r="K205" i="4"/>
  <c r="K206" i="4"/>
  <c r="K207" i="4"/>
  <c r="K208" i="4"/>
  <c r="M208" i="4" s="1"/>
  <c r="K209" i="4"/>
  <c r="M209" i="4" s="1"/>
  <c r="K210" i="4"/>
  <c r="M210" i="4" s="1"/>
  <c r="K211" i="4"/>
  <c r="K212" i="4"/>
  <c r="K213" i="4"/>
  <c r="K214" i="4"/>
  <c r="K215" i="4"/>
  <c r="K216" i="4"/>
  <c r="K217" i="4"/>
  <c r="K218" i="4"/>
  <c r="K219" i="4"/>
  <c r="K220" i="4"/>
  <c r="K221" i="4"/>
  <c r="M221" i="4" s="1"/>
  <c r="K222" i="4"/>
  <c r="M222" i="4" s="1"/>
  <c r="K223" i="4"/>
  <c r="K224" i="4"/>
  <c r="K225" i="4"/>
  <c r="K226" i="4"/>
  <c r="K227" i="4"/>
  <c r="K228" i="4"/>
  <c r="K229" i="4"/>
  <c r="K230" i="4"/>
  <c r="K231" i="4"/>
  <c r="K232" i="4"/>
  <c r="M232" i="4" s="1"/>
  <c r="K233" i="4"/>
  <c r="M233" i="4" s="1"/>
  <c r="K234" i="4"/>
  <c r="M234" i="4" s="1"/>
  <c r="K235" i="4"/>
  <c r="K236" i="4"/>
  <c r="K237" i="4"/>
  <c r="K238" i="4"/>
  <c r="K239" i="4"/>
  <c r="K3" i="4"/>
  <c r="K4" i="4"/>
  <c r="K5" i="4"/>
  <c r="K6" i="4"/>
  <c r="K7" i="4"/>
  <c r="K8" i="4"/>
  <c r="K9" i="4"/>
  <c r="K10" i="4"/>
  <c r="K11" i="4"/>
  <c r="K12" i="4"/>
  <c r="K13" i="4"/>
  <c r="K14" i="4"/>
  <c r="K15" i="4"/>
  <c r="K16" i="4"/>
  <c r="K2" i="4"/>
  <c r="H2"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4" i="1"/>
  <c r="E5" i="1"/>
  <c r="E6" i="1"/>
  <c r="E7" i="1"/>
  <c r="E8" i="1"/>
  <c r="E9" i="1"/>
  <c r="E10" i="1"/>
  <c r="E11" i="1"/>
  <c r="E12" i="1"/>
  <c r="E13" i="1"/>
  <c r="E14" i="1"/>
  <c r="E15" i="1"/>
  <c r="E16" i="1"/>
  <c r="E17" i="1"/>
  <c r="E18" i="1"/>
  <c r="E19" i="1"/>
  <c r="E20" i="1"/>
  <c r="E21" i="1"/>
  <c r="E22" i="1"/>
  <c r="E23" i="1"/>
  <c r="E3" i="1"/>
  <c r="E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3" i="1"/>
  <c r="C4" i="1"/>
  <c r="C5" i="1"/>
  <c r="C6" i="1"/>
  <c r="C7" i="1"/>
  <c r="C8" i="1"/>
  <c r="C9" i="1"/>
  <c r="C10" i="1"/>
  <c r="C11" i="1"/>
  <c r="C12" i="1"/>
  <c r="C13" i="1"/>
  <c r="C14" i="1"/>
  <c r="C15" i="1"/>
  <c r="C16" i="1"/>
  <c r="C17" i="1"/>
  <c r="C18" i="1"/>
  <c r="C19" i="1"/>
  <c r="C2" i="1"/>
  <c r="M8" i="4" l="1"/>
  <c r="M7" i="4"/>
  <c r="M6" i="4"/>
  <c r="M5" i="4"/>
  <c r="M2" i="4"/>
  <c r="M235" i="4"/>
  <c r="M223" i="4"/>
  <c r="M211" i="4"/>
  <c r="M199" i="4"/>
  <c r="M187" i="4"/>
  <c r="M175" i="4"/>
  <c r="M163" i="4"/>
  <c r="M151" i="4"/>
  <c r="M139" i="4"/>
  <c r="M127" i="4"/>
  <c r="M115" i="4"/>
  <c r="M103" i="4"/>
  <c r="M91" i="4"/>
  <c r="M79" i="4"/>
  <c r="M67" i="4"/>
  <c r="M55" i="4"/>
  <c r="M43" i="4"/>
  <c r="M31" i="4"/>
  <c r="M19" i="4"/>
  <c r="M9" i="4"/>
  <c r="M10" i="4"/>
  <c r="M12" i="4"/>
  <c r="M237" i="4"/>
  <c r="M225" i="4"/>
  <c r="M213" i="4"/>
  <c r="M201" i="4"/>
  <c r="M189" i="4"/>
  <c r="M177" i="4"/>
  <c r="M165" i="4"/>
  <c r="M153" i="4"/>
  <c r="M141" i="4"/>
  <c r="M129" i="4"/>
  <c r="M117" i="4"/>
  <c r="M105" i="4"/>
  <c r="M93" i="4"/>
  <c r="M81" i="4"/>
  <c r="M69" i="4"/>
  <c r="M57" i="4"/>
  <c r="M45" i="4"/>
  <c r="M33" i="4"/>
  <c r="M21" i="4"/>
  <c r="M11" i="4"/>
  <c r="M236" i="4"/>
  <c r="M224" i="4"/>
  <c r="M212" i="4"/>
  <c r="M200" i="4"/>
  <c r="M188" i="4"/>
  <c r="M176" i="4"/>
  <c r="M164" i="4"/>
  <c r="M152" i="4"/>
  <c r="M140" i="4"/>
  <c r="M128" i="4"/>
  <c r="M116" i="4"/>
  <c r="M104" i="4"/>
  <c r="M92" i="4"/>
  <c r="M80" i="4"/>
  <c r="M68" i="4"/>
  <c r="M56" i="4"/>
  <c r="M44" i="4"/>
  <c r="M32" i="4"/>
  <c r="M20" i="4"/>
  <c r="M76" i="4"/>
  <c r="M40" i="4"/>
  <c r="M231" i="4"/>
  <c r="M207" i="4"/>
  <c r="M183" i="4"/>
  <c r="M147" i="4"/>
  <c r="M123" i="4"/>
  <c r="M220" i="4"/>
  <c r="M184" i="4"/>
  <c r="M148" i="4"/>
  <c r="M112" i="4"/>
  <c r="M219" i="4"/>
  <c r="M195" i="4"/>
  <c r="M171" i="4"/>
  <c r="M159" i="4"/>
  <c r="M135" i="4"/>
  <c r="M99" i="4"/>
  <c r="M75" i="4"/>
  <c r="M51" i="4"/>
  <c r="M27" i="4"/>
  <c r="M230" i="4"/>
  <c r="M218" i="4"/>
  <c r="M194" i="4"/>
  <c r="M170" i="4"/>
  <c r="M146" i="4"/>
  <c r="M122" i="4"/>
  <c r="M98" i="4"/>
  <c r="M74" i="4"/>
  <c r="M50" i="4"/>
  <c r="M26" i="4"/>
  <c r="M16" i="4"/>
  <c r="M229" i="4"/>
  <c r="M205" i="4"/>
  <c r="M193" i="4"/>
  <c r="M169" i="4"/>
  <c r="M145" i="4"/>
  <c r="M121" i="4"/>
  <c r="M97" i="4"/>
  <c r="M73" i="4"/>
  <c r="M49" i="4"/>
  <c r="M25" i="4"/>
  <c r="M15" i="4"/>
  <c r="M228" i="4"/>
  <c r="M204" i="4"/>
  <c r="M180" i="4"/>
  <c r="M156" i="4"/>
  <c r="M144" i="4"/>
  <c r="M120" i="4"/>
  <c r="M96" i="4"/>
  <c r="M72" i="4"/>
  <c r="M48" i="4"/>
  <c r="M24" i="4"/>
  <c r="M14" i="4"/>
  <c r="M239" i="4"/>
  <c r="M215" i="4"/>
  <c r="M203" i="4"/>
  <c r="M191" i="4"/>
  <c r="M179" i="4"/>
  <c r="M167" i="4"/>
  <c r="M155" i="4"/>
  <c r="M143" i="4"/>
  <c r="M131" i="4"/>
  <c r="M119" i="4"/>
  <c r="M107" i="4"/>
  <c r="M95" i="4"/>
  <c r="M83" i="4"/>
  <c r="M71" i="4"/>
  <c r="M59" i="4"/>
  <c r="M47" i="4"/>
  <c r="M35" i="4"/>
  <c r="M23" i="4"/>
  <c r="M111" i="4"/>
  <c r="M87" i="4"/>
  <c r="M63" i="4"/>
  <c r="M39" i="4"/>
  <c r="M206" i="4"/>
  <c r="M182" i="4"/>
  <c r="M158" i="4"/>
  <c r="M134" i="4"/>
  <c r="M110" i="4"/>
  <c r="M86" i="4"/>
  <c r="M62" i="4"/>
  <c r="M38" i="4"/>
  <c r="M4" i="4"/>
  <c r="M217" i="4"/>
  <c r="M181" i="4"/>
  <c r="M157" i="4"/>
  <c r="M133" i="4"/>
  <c r="M109" i="4"/>
  <c r="M85" i="4"/>
  <c r="M61" i="4"/>
  <c r="M37" i="4"/>
  <c r="M3" i="4"/>
  <c r="M216" i="4"/>
  <c r="M192" i="4"/>
  <c r="M168" i="4"/>
  <c r="M132" i="4"/>
  <c r="M108" i="4"/>
  <c r="M84" i="4"/>
  <c r="M60" i="4"/>
  <c r="M36" i="4"/>
  <c r="M227" i="4"/>
  <c r="M13" i="4"/>
  <c r="M238" i="4"/>
  <c r="M226" i="4"/>
  <c r="M214" i="4"/>
  <c r="M202" i="4"/>
  <c r="M190" i="4"/>
  <c r="M178" i="4"/>
  <c r="M166" i="4"/>
  <c r="M154" i="4"/>
  <c r="M142" i="4"/>
  <c r="M130" i="4"/>
  <c r="M118" i="4"/>
  <c r="M106" i="4"/>
  <c r="M94" i="4"/>
  <c r="M82" i="4"/>
  <c r="M70" i="4"/>
  <c r="M58" i="4"/>
  <c r="M46" i="4"/>
  <c r="M34" i="4"/>
  <c r="M2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0ADE09-4E24-476C-9620-6A67B9A13757}" keepAlive="1" name="Query - PQ_Cleaned_Data" description="Connection to the 'PQ_Cleaned_Data' query in the workbook." type="5" refreshedVersion="8" background="1" saveData="1">
    <dbPr connection="Provider=Microsoft.Mashup.OleDb.1;Data Source=$Workbook$;Location=PQ_Cleaned_Data;Extended Properties=&quot;&quot;" command="SELECT * FROM [PQ_Cleaned_Data]"/>
  </connection>
  <connection id="2" xr16:uid="{4F42E8D6-A884-49A6-9A33-20A8B2315717}" keepAlive="1" name="Query - PQ_Cleaned_Data (2)" description="Connection to the 'PQ_Cleaned_Data (2)' query in the workbook." type="5" refreshedVersion="8" background="1" saveData="1">
    <dbPr connection="Provider=Microsoft.Mashup.OleDb.1;Data Source=$Workbook$;Location=&quot;PQ_Cleaned_Data (2)&quot;;Extended Properties=&quot;&quot;" command="SELECT * FROM [PQ_Cleaned_Data (2)]"/>
  </connection>
  <connection id="3" xr16:uid="{B92D2D88-50B5-489B-A5E6-29EE8586977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6D2691B3-1446-47EC-A067-26FFBC0C52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C5847B7-6F45-40AA-8FCA-470438E7E8B3}" name="WorksheetConnection_Customer Purchasing Behaviors.xlsx!Table1" type="102" refreshedVersion="8" minRefreshableVersion="5">
    <extLst>
      <ext xmlns:x15="http://schemas.microsoft.com/office/spreadsheetml/2010/11/main" uri="{DE250136-89BD-433C-8126-D09CA5730AF9}">
        <x15:connection id="Table1">
          <x15:rangePr sourceName="_xlcn.WorksheetConnection_CustomerPurchasingBehaviors.xlsxTable11"/>
        </x15:connection>
      </ext>
    </extLst>
  </connection>
  <connection id="6" xr16:uid="{2086C5D3-0308-456E-B32F-986607FD3254}" name="WorksheetConnection_Feature_Engineering!$K$1:$M$239" type="102" refreshedVersion="8" minRefreshableVersion="5">
    <extLst>
      <ext xmlns:x15="http://schemas.microsoft.com/office/spreadsheetml/2010/11/main" uri="{DE250136-89BD-433C-8126-D09CA5730AF9}">
        <x15:connection id="Range" autoDelete="1">
          <x15:rangePr sourceName="_xlcn.WorksheetConnection_Feature_EngineeringK1M2391"/>
        </x15:connection>
      </ext>
    </extLst>
  </connection>
</connections>
</file>

<file path=xl/sharedStrings.xml><?xml version="1.0" encoding="utf-8"?>
<sst xmlns="http://schemas.openxmlformats.org/spreadsheetml/2006/main" count="3197" uniqueCount="73">
  <si>
    <t>age</t>
  </si>
  <si>
    <t>region</t>
  </si>
  <si>
    <t>purchase_frequency</t>
  </si>
  <si>
    <t>North</t>
  </si>
  <si>
    <t>South</t>
  </si>
  <si>
    <t>West</t>
  </si>
  <si>
    <t>East</t>
  </si>
  <si>
    <t>agegroup</t>
  </si>
  <si>
    <t>Incomegroup</t>
  </si>
  <si>
    <t>loyaltyscore</t>
  </si>
  <si>
    <t>customersegment</t>
  </si>
  <si>
    <t>purchase_amount</t>
  </si>
  <si>
    <t>annual_income</t>
  </si>
  <si>
    <t>user_id</t>
  </si>
  <si>
    <t>25-34</t>
  </si>
  <si>
    <t>Medium</t>
  </si>
  <si>
    <t>Low Value</t>
  </si>
  <si>
    <t>Medium Value</t>
  </si>
  <si>
    <t>45+</t>
  </si>
  <si>
    <t>High</t>
  </si>
  <si>
    <t>High Value</t>
  </si>
  <si>
    <t>18-24</t>
  </si>
  <si>
    <t>Low</t>
  </si>
  <si>
    <t>35-44</t>
  </si>
  <si>
    <t>Spending_Level</t>
  </si>
  <si>
    <t>Customer_Status</t>
  </si>
  <si>
    <t>Final_Segment</t>
  </si>
  <si>
    <t>Total Customers</t>
  </si>
  <si>
    <t>Average Purchase Amount</t>
  </si>
  <si>
    <t>Average Loyalty Score</t>
  </si>
  <si>
    <t>Maximum Purchase Amount</t>
  </si>
  <si>
    <t>Minimum Purchase Amount</t>
  </si>
  <si>
    <t>Grand Total</t>
  </si>
  <si>
    <t>Sum of purchase_amount</t>
  </si>
  <si>
    <t>Region</t>
  </si>
  <si>
    <t>(blank)</t>
  </si>
  <si>
    <t>Count of user_id</t>
  </si>
  <si>
    <t>Age Group</t>
  </si>
  <si>
    <t>Income Group</t>
  </si>
  <si>
    <t>Loyal</t>
  </si>
  <si>
    <t>Regular</t>
  </si>
  <si>
    <t>At Risk</t>
  </si>
  <si>
    <t>CUSTOMER PURCHASE BEHAVIOUR DASHBOARD</t>
  </si>
  <si>
    <t>KEY INSIGHTS FROM CUSTOMER PURCHASING BEHAVIOUR ANALYSIS</t>
  </si>
  <si>
    <t>1.The West region contributes the highest revenue among all regions, indicating strong customer purchasing power.</t>
  </si>
  <si>
    <t>2. The East region shoes the lowest revenue contribution and has potential for growth.</t>
  </si>
  <si>
    <t>3. Customers aged 45+ from the largest customer group, followed by the 25-35 age group.</t>
  </si>
  <si>
    <t>4. Regular customers are the largest segment compared to Loyal and At-Risk customers.</t>
  </si>
  <si>
    <t xml:space="preserve">5. High-income customers generate significantly more revenue than medium and </t>
  </si>
  <si>
    <t>and Low income groups.</t>
  </si>
  <si>
    <t>6.A noticeable portion of customers fall under the At-Risk category, indicating a need for retention strategies.</t>
  </si>
  <si>
    <t>BUSINESS RECOMMENDATIONS BASED ON ANALYSIS</t>
  </si>
  <si>
    <t>. Introduce loyalty programs and reward schemes to convert Regular customers into Loyal customers.</t>
  </si>
  <si>
    <t>. Design targeted marketing campaigns for the East region to improve revenue contribution.</t>
  </si>
  <si>
    <t>. Focus on retaining At-Risk customers through personalized offers and follow-ups.</t>
  </si>
  <si>
    <t>. Offer premium products and services to High-income customers to maximize revenue.</t>
  </si>
  <si>
    <t>. Customize promotions for the 25–44 age group to increase engagement and repeat purchases.</t>
  </si>
  <si>
    <t>PROJECT TITLE</t>
  </si>
  <si>
    <t xml:space="preserve">Customer purchasing </t>
  </si>
  <si>
    <t>Purchasing Behaviour Analysis Using Excel</t>
  </si>
  <si>
    <t>To analyze customer purchasing behaviour and identify trends across regions, income levels,age gropus, and customer segments.</t>
  </si>
  <si>
    <t>DATASET DESCRIPTION</t>
  </si>
  <si>
    <t>OBJECTIVE:</t>
  </si>
  <si>
    <t>The dataset contains 238 customer records including age, income,purchase amount,loyalty score, region, and customer status.</t>
  </si>
  <si>
    <t>TOOLS AND TECHNIQUES USED:</t>
  </si>
  <si>
    <t>.Microsoft Excel</t>
  </si>
  <si>
    <t>.Power Query for data cleaning</t>
  </si>
  <si>
    <t>.Feature Engineering</t>
  </si>
  <si>
    <t>.Pivot Tables and Pivot Charts</t>
  </si>
  <si>
    <t>.Slicers for interactivity</t>
  </si>
  <si>
    <t>.Dashboard design</t>
  </si>
  <si>
    <t>OUTCOME:</t>
  </si>
  <si>
    <t>An interactive Excel dashboard was developed to provide insights into customer behaviour and support data-driven business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</si>
</sst>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2"/>
      <color theme="1"/>
      <name val="Aptos Narrow"/>
      <family val="2"/>
      <scheme val="minor"/>
    </font>
    <font>
      <b/>
      <sz val="14"/>
      <color theme="1"/>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3">
    <xf numFmtId="0" fontId="0" fillId="0" borderId="0" xfId="0"/>
    <xf numFmtId="0" fontId="16" fillId="0" borderId="0" xfId="0" applyFont="1"/>
    <xf numFmtId="0" fontId="16" fillId="0" borderId="0" xfId="0" applyFont="1" applyAlignment="1">
      <alignment horizontal="center"/>
    </xf>
    <xf numFmtId="44" fontId="16" fillId="0" borderId="0" xfId="42" applyFont="1" applyAlignment="1">
      <alignment horizontal="center"/>
    </xf>
    <xf numFmtId="0" fontId="0" fillId="0" borderId="0" xfId="0" applyAlignment="1">
      <alignment horizontal="center"/>
    </xf>
    <xf numFmtId="44" fontId="0" fillId="0" borderId="0" xfId="42"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20" fillId="0" borderId="0" xfId="0" applyFont="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 [$₹-4009]\ * #,##0.00_ ;_ [$₹-4009]\ * \-#,##0.00_ ;_ [$₹-4009]\ * &quot;-&quot;??_ ;_ @_ "/>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Purchasing Behavior Analysis.xlsx]PivotCustomer Status Count!PivotTable7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a:solidFill>
                  <a:schemeClr val="tx1">
                    <a:lumMod val="95000"/>
                    <a:lumOff val="5000"/>
                  </a:schemeClr>
                </a:solidFill>
              </a:rPr>
              <a:t>Customer</a:t>
            </a:r>
            <a:r>
              <a:rPr lang="en-IN" sz="1400" b="1" i="0" baseline="0">
                <a:solidFill>
                  <a:schemeClr val="tx1">
                    <a:lumMod val="95000"/>
                    <a:lumOff val="5000"/>
                  </a:schemeClr>
                </a:solidFill>
              </a:rPr>
              <a:t> Distribution by Status</a:t>
            </a:r>
          </a:p>
          <a:p>
            <a:pPr>
              <a:defRPr/>
            </a:pPr>
            <a:endParaRPr lang="en-IN"/>
          </a:p>
        </c:rich>
      </c:tx>
      <c:layout>
        <c:manualLayout>
          <c:xMode val="edge"/>
          <c:yMode val="edge"/>
          <c:x val="0.23744536787270523"/>
          <c:y val="8.7797192538536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71789375384679E-2"/>
          <c:y val="0.34648678915135606"/>
          <c:w val="0.89356028609631344"/>
          <c:h val="0.48063412073490813"/>
        </c:manualLayout>
      </c:layout>
      <c:barChart>
        <c:barDir val="col"/>
        <c:grouping val="clustered"/>
        <c:varyColors val="0"/>
        <c:ser>
          <c:idx val="0"/>
          <c:order val="0"/>
          <c:tx>
            <c:strRef>
              <c:f>'PivotCustomer Status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'PivotCustomer Status Count'!$A$4:$A$7</c:f>
              <c:strCache>
                <c:ptCount val="3"/>
                <c:pt idx="0">
                  <c:v>At Risk</c:v>
                </c:pt>
                <c:pt idx="1">
                  <c:v>Loyal</c:v>
                </c:pt>
                <c:pt idx="2">
                  <c:v>Regular</c:v>
                </c:pt>
              </c:strCache>
            </c:strRef>
          </c:cat>
          <c:val>
            <c:numRef>
              <c:f>'PivotCustomer Status Count'!$B$4:$B$7</c:f>
              <c:numCache>
                <c:formatCode>General</c:formatCode>
                <c:ptCount val="3"/>
                <c:pt idx="0">
                  <c:v>51</c:v>
                </c:pt>
                <c:pt idx="1">
                  <c:v>83</c:v>
                </c:pt>
                <c:pt idx="2">
                  <c:v>104</c:v>
                </c:pt>
              </c:numCache>
            </c:numRef>
          </c:val>
          <c:extLst>
            <c:ext xmlns:c16="http://schemas.microsoft.com/office/drawing/2014/chart" uri="{C3380CC4-5D6E-409C-BE32-E72D297353CC}">
              <c16:uniqueId val="{00000000-B29A-4A94-960D-641AA8BAD9E4}"/>
            </c:ext>
          </c:extLst>
        </c:ser>
        <c:dLbls>
          <c:dLblPos val="outEnd"/>
          <c:showLegendKey val="0"/>
          <c:showVal val="1"/>
          <c:showCatName val="0"/>
          <c:showSerName val="0"/>
          <c:showPercent val="0"/>
          <c:showBubbleSize val="0"/>
        </c:dLbls>
        <c:gapWidth val="219"/>
        <c:overlap val="-27"/>
        <c:axId val="2078563119"/>
        <c:axId val="2078564079"/>
      </c:barChart>
      <c:catAx>
        <c:axId val="20785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64079"/>
        <c:crosses val="autoZero"/>
        <c:auto val="1"/>
        <c:lblAlgn val="ctr"/>
        <c:lblOffset val="100"/>
        <c:noMultiLvlLbl val="0"/>
      </c:catAx>
      <c:valAx>
        <c:axId val="207856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56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Purchasing Behavior Analysis.xlsx]Pivot_Region_Revenue!PivotTable2</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b="1"/>
              <a:t>Region</a:t>
            </a:r>
            <a:r>
              <a:rPr lang="en-IN" b="1" baseline="0"/>
              <a:t> by Revenue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2537182852143"/>
          <c:y val="0.17490522018081076"/>
          <c:w val="0.75083092738407697"/>
          <c:h val="0.65890128317293672"/>
        </c:manualLayout>
      </c:layout>
      <c:barChart>
        <c:barDir val="col"/>
        <c:grouping val="clustered"/>
        <c:varyColors val="0"/>
        <c:ser>
          <c:idx val="0"/>
          <c:order val="0"/>
          <c:tx>
            <c:strRef>
              <c:f>Pivot_Region_Revenue!$B$3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Pivot_Region_Revenue!$A$4:$A$8</c:f>
              <c:strCache>
                <c:ptCount val="4"/>
                <c:pt idx="0">
                  <c:v>East</c:v>
                </c:pt>
                <c:pt idx="1">
                  <c:v>North</c:v>
                </c:pt>
                <c:pt idx="2">
                  <c:v>South</c:v>
                </c:pt>
                <c:pt idx="3">
                  <c:v>West</c:v>
                </c:pt>
              </c:strCache>
            </c:strRef>
          </c:cat>
          <c:val>
            <c:numRef>
              <c:f>Pivot_Region_Revenue!$B$4:$B$8</c:f>
              <c:numCache>
                <c:formatCode>General</c:formatCode>
                <c:ptCount val="4"/>
                <c:pt idx="0">
                  <c:v>1920</c:v>
                </c:pt>
                <c:pt idx="1">
                  <c:v>27970</c:v>
                </c:pt>
                <c:pt idx="2">
                  <c:v>32100</c:v>
                </c:pt>
                <c:pt idx="3">
                  <c:v>39310</c:v>
                </c:pt>
              </c:numCache>
            </c:numRef>
          </c:val>
          <c:extLst>
            <c:ext xmlns:c16="http://schemas.microsoft.com/office/drawing/2014/chart" uri="{C3380CC4-5D6E-409C-BE32-E72D297353CC}">
              <c16:uniqueId val="{00000000-CBCE-42C6-9623-BE8A39ED6A78}"/>
            </c:ext>
          </c:extLst>
        </c:ser>
        <c:dLbls>
          <c:dLblPos val="outEnd"/>
          <c:showLegendKey val="0"/>
          <c:showVal val="1"/>
          <c:showCatName val="0"/>
          <c:showSerName val="0"/>
          <c:showPercent val="0"/>
          <c:showBubbleSize val="0"/>
        </c:dLbls>
        <c:gapWidth val="219"/>
        <c:overlap val="-27"/>
        <c:axId val="140316912"/>
        <c:axId val="140317392"/>
      </c:barChart>
      <c:catAx>
        <c:axId val="14031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0317392"/>
        <c:crosses val="autoZero"/>
        <c:auto val="1"/>
        <c:lblAlgn val="ctr"/>
        <c:lblOffset val="100"/>
        <c:noMultiLvlLbl val="0"/>
      </c:catAx>
      <c:valAx>
        <c:axId val="14031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03169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Purchasing Behavior Analysis.xlsx]Pivot_Age_Customers!PivotTable3</c:name>
    <c:fmtId val="3"/>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b="1">
                <a:solidFill>
                  <a:schemeClr val="bg2">
                    <a:lumMod val="10000"/>
                  </a:schemeClr>
                </a:solidFill>
              </a:rPr>
              <a:t>Age</a:t>
            </a:r>
            <a:r>
              <a:rPr lang="en-US" b="1" baseline="0">
                <a:solidFill>
                  <a:schemeClr val="bg2">
                    <a:lumMod val="10000"/>
                  </a:schemeClr>
                </a:solidFill>
              </a:rPr>
              <a:t> by Customers</a:t>
            </a:r>
            <a:endParaRPr lang="en-US" b="1">
              <a:solidFill>
                <a:schemeClr val="bg2">
                  <a:lumMod val="10000"/>
                </a:schemeClr>
              </a:solidFill>
            </a:endParaRPr>
          </a:p>
        </c:rich>
      </c:tx>
      <c:layout>
        <c:manualLayout>
          <c:xMode val="edge"/>
          <c:yMode val="edge"/>
          <c:x val="0.3523193350831146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35870516185476"/>
          <c:y val="0.28643299795858851"/>
          <c:w val="0.78883092738407701"/>
          <c:h val="0.53811424613589964"/>
        </c:manualLayout>
      </c:layout>
      <c:barChart>
        <c:barDir val="col"/>
        <c:grouping val="clustered"/>
        <c:varyColors val="0"/>
        <c:ser>
          <c:idx val="0"/>
          <c:order val="0"/>
          <c:tx>
            <c:strRef>
              <c:f>Pivot_Age_Customers!$B$3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Pivot_Age_Customers!$A$4:$A$9</c:f>
              <c:strCache>
                <c:ptCount val="5"/>
                <c:pt idx="0">
                  <c:v>18-24</c:v>
                </c:pt>
                <c:pt idx="1">
                  <c:v>25-34</c:v>
                </c:pt>
                <c:pt idx="2">
                  <c:v>35-44</c:v>
                </c:pt>
                <c:pt idx="3">
                  <c:v>45+</c:v>
                </c:pt>
                <c:pt idx="4">
                  <c:v>(blank)</c:v>
                </c:pt>
              </c:strCache>
            </c:strRef>
          </c:cat>
          <c:val>
            <c:numRef>
              <c:f>Pivot_Age_Customers!$B$4:$B$9</c:f>
              <c:numCache>
                <c:formatCode>General</c:formatCode>
                <c:ptCount val="5"/>
                <c:pt idx="0">
                  <c:v>16</c:v>
                </c:pt>
                <c:pt idx="1">
                  <c:v>75</c:v>
                </c:pt>
                <c:pt idx="2">
                  <c:v>70</c:v>
                </c:pt>
                <c:pt idx="3">
                  <c:v>76</c:v>
                </c:pt>
                <c:pt idx="4">
                  <c:v>1</c:v>
                </c:pt>
              </c:numCache>
            </c:numRef>
          </c:val>
          <c:extLst>
            <c:ext xmlns:c16="http://schemas.microsoft.com/office/drawing/2014/chart" uri="{C3380CC4-5D6E-409C-BE32-E72D297353CC}">
              <c16:uniqueId val="{00000000-7BEA-4AB2-B877-6760B4059BDD}"/>
            </c:ext>
          </c:extLst>
        </c:ser>
        <c:dLbls>
          <c:dLblPos val="outEnd"/>
          <c:showLegendKey val="0"/>
          <c:showVal val="1"/>
          <c:showCatName val="0"/>
          <c:showSerName val="0"/>
          <c:showPercent val="0"/>
          <c:showBubbleSize val="0"/>
        </c:dLbls>
        <c:gapWidth val="219"/>
        <c:overlap val="-27"/>
        <c:axId val="166407776"/>
        <c:axId val="166408256"/>
      </c:barChart>
      <c:catAx>
        <c:axId val="16640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08256"/>
        <c:crosses val="autoZero"/>
        <c:auto val="1"/>
        <c:lblAlgn val="ctr"/>
        <c:lblOffset val="100"/>
        <c:noMultiLvlLbl val="0"/>
      </c:catAx>
      <c:valAx>
        <c:axId val="16640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0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Purchasing Behavior Analysis.xlsx]Pivot_Income_Revenue!PivotTable4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Income</a:t>
            </a:r>
            <a:r>
              <a:rPr lang="en-IN" b="1" baseline="0">
                <a:solidFill>
                  <a:schemeClr val="tx1">
                    <a:lumMod val="95000"/>
                    <a:lumOff val="5000"/>
                  </a:schemeClr>
                </a:solidFill>
              </a:rPr>
              <a:t> by Revenue</a:t>
            </a:r>
          </a:p>
          <a:p>
            <a:pPr>
              <a:defRPr/>
            </a:pPr>
            <a:endParaRPr lang="en-IN"/>
          </a:p>
        </c:rich>
      </c:tx>
      <c:layout>
        <c:manualLayout>
          <c:xMode val="edge"/>
          <c:yMode val="edge"/>
          <c:x val="0.3384444444444444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Pivot_Income_Revenue!$B$3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Pivot_Income_Revenue!$A$4:$A$7</c:f>
              <c:strCache>
                <c:ptCount val="3"/>
                <c:pt idx="0">
                  <c:v>High</c:v>
                </c:pt>
                <c:pt idx="1">
                  <c:v>Low</c:v>
                </c:pt>
                <c:pt idx="2">
                  <c:v>Medium</c:v>
                </c:pt>
              </c:strCache>
            </c:strRef>
          </c:cat>
          <c:val>
            <c:numRef>
              <c:f>Pivot_Income_Revenue!$B$4:$B$7</c:f>
              <c:numCache>
                <c:formatCode>General</c:formatCode>
                <c:ptCount val="3"/>
                <c:pt idx="0">
                  <c:v>61880</c:v>
                </c:pt>
                <c:pt idx="1">
                  <c:v>2690</c:v>
                </c:pt>
                <c:pt idx="2">
                  <c:v>36730</c:v>
                </c:pt>
              </c:numCache>
            </c:numRef>
          </c:val>
          <c:extLst>
            <c:ext xmlns:c16="http://schemas.microsoft.com/office/drawing/2014/chart" uri="{C3380CC4-5D6E-409C-BE32-E72D297353CC}">
              <c16:uniqueId val="{00000000-6D69-427B-AF52-9BFBD5447852}"/>
            </c:ext>
          </c:extLst>
        </c:ser>
        <c:dLbls>
          <c:dLblPos val="outEnd"/>
          <c:showLegendKey val="0"/>
          <c:showVal val="1"/>
          <c:showCatName val="0"/>
          <c:showSerName val="0"/>
          <c:showPercent val="0"/>
          <c:showBubbleSize val="0"/>
        </c:dLbls>
        <c:gapWidth val="219"/>
        <c:overlap val="-27"/>
        <c:axId val="141697088"/>
        <c:axId val="141735008"/>
      </c:barChart>
      <c:catAx>
        <c:axId val="1416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5008"/>
        <c:crosses val="autoZero"/>
        <c:auto val="1"/>
        <c:lblAlgn val="ctr"/>
        <c:lblOffset val="100"/>
        <c:noMultiLvlLbl val="0"/>
      </c:catAx>
      <c:valAx>
        <c:axId val="14173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114300</xdr:colOff>
      <xdr:row>20</xdr:row>
      <xdr:rowOff>50800</xdr:rowOff>
    </xdr:from>
    <xdr:to>
      <xdr:col>17</xdr:col>
      <xdr:colOff>406400</xdr:colOff>
      <xdr:row>33</xdr:row>
      <xdr:rowOff>50800</xdr:rowOff>
    </xdr:to>
    <xdr:graphicFrame macro="">
      <xdr:nvGraphicFramePr>
        <xdr:cNvPr id="2" name="Chart 1">
          <a:extLst>
            <a:ext uri="{FF2B5EF4-FFF2-40B4-BE49-F238E27FC236}">
              <a16:creationId xmlns:a16="http://schemas.microsoft.com/office/drawing/2014/main" id="{4C978F72-CAC9-4642-9E0C-F2F6054B7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304800</xdr:colOff>
      <xdr:row>5</xdr:row>
      <xdr:rowOff>0</xdr:rowOff>
    </xdr:from>
    <xdr:to>
      <xdr:col>8</xdr:col>
      <xdr:colOff>0</xdr:colOff>
      <xdr:row>19</xdr:row>
      <xdr:rowOff>165100</xdr:rowOff>
    </xdr:to>
    <xdr:graphicFrame macro="">
      <xdr:nvGraphicFramePr>
        <xdr:cNvPr id="3" name="Chart 2">
          <a:extLst>
            <a:ext uri="{FF2B5EF4-FFF2-40B4-BE49-F238E27FC236}">
              <a16:creationId xmlns:a16="http://schemas.microsoft.com/office/drawing/2014/main" id="{2EEF1B37-F272-4C83-98FC-EFADEF437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158416</xdr:colOff>
      <xdr:row>4</xdr:row>
      <xdr:rowOff>133684</xdr:rowOff>
    </xdr:from>
    <xdr:to>
      <xdr:col>17</xdr:col>
      <xdr:colOff>463216</xdr:colOff>
      <xdr:row>19</xdr:row>
      <xdr:rowOff>114634</xdr:rowOff>
    </xdr:to>
    <xdr:graphicFrame macro="">
      <xdr:nvGraphicFramePr>
        <xdr:cNvPr id="4" name="Chart 3">
          <a:extLst>
            <a:ext uri="{FF2B5EF4-FFF2-40B4-BE49-F238E27FC236}">
              <a16:creationId xmlns:a16="http://schemas.microsoft.com/office/drawing/2014/main" id="{98035081-AA69-4009-8893-938F2F5CA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285750</xdr:colOff>
      <xdr:row>20</xdr:row>
      <xdr:rowOff>44450</xdr:rowOff>
    </xdr:from>
    <xdr:to>
      <xdr:col>7</xdr:col>
      <xdr:colOff>571500</xdr:colOff>
      <xdr:row>33</xdr:row>
      <xdr:rowOff>88900</xdr:rowOff>
    </xdr:to>
    <xdr:graphicFrame macro="">
      <xdr:nvGraphicFramePr>
        <xdr:cNvPr id="5" name="Chart 4">
          <a:extLst>
            <a:ext uri="{FF2B5EF4-FFF2-40B4-BE49-F238E27FC236}">
              <a16:creationId xmlns:a16="http://schemas.microsoft.com/office/drawing/2014/main" id="{1E98B350-EC9D-4745-AD09-2F8565255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158750</xdr:colOff>
      <xdr:row>8</xdr:row>
      <xdr:rowOff>38100</xdr:rowOff>
    </xdr:from>
    <xdr:to>
      <xdr:col>10</xdr:col>
      <xdr:colOff>0</xdr:colOff>
      <xdr:row>16</xdr:row>
      <xdr:rowOff>139699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EA83694-0B41-1EDE-D907-AC9D5B7F69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35550" y="1511300"/>
              <a:ext cx="106045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533400</xdr:colOff>
      <xdr:row>7</xdr:row>
      <xdr:rowOff>146050</xdr:rowOff>
    </xdr:from>
    <xdr:to>
      <xdr:col>20</xdr:col>
      <xdr:colOff>292100</xdr:colOff>
      <xdr:row>17</xdr:row>
      <xdr:rowOff>69851</xdr:rowOff>
    </xdr:to>
    <mc:AlternateContent xmlns:mc="http://schemas.openxmlformats.org/markup-compatibility/2006" xmlns:a14="http://schemas.microsoft.com/office/drawing/2010/main">
      <mc:Choice Requires="a14">
        <xdr:graphicFrame macro="">
          <xdr:nvGraphicFramePr>
            <xdr:cNvPr id="7" name="agegroup">
              <a:extLst>
                <a:ext uri="{FF2B5EF4-FFF2-40B4-BE49-F238E27FC236}">
                  <a16:creationId xmlns:a16="http://schemas.microsoft.com/office/drawing/2014/main" id="{32A33B83-909E-DF65-D184-2643DD27182D}"/>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10896600" y="1435100"/>
              <a:ext cx="1587500" cy="176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xdr:colOff>
      <xdr:row>20</xdr:row>
      <xdr:rowOff>120650</xdr:rowOff>
    </xdr:from>
    <xdr:to>
      <xdr:col>9</xdr:col>
      <xdr:colOff>558800</xdr:colOff>
      <xdr:row>27</xdr:row>
      <xdr:rowOff>31750</xdr:rowOff>
    </xdr:to>
    <mc:AlternateContent xmlns:mc="http://schemas.openxmlformats.org/markup-compatibility/2006" xmlns:a14="http://schemas.microsoft.com/office/drawing/2010/main">
      <mc:Choice Requires="a14">
        <xdr:graphicFrame macro="">
          <xdr:nvGraphicFramePr>
            <xdr:cNvPr id="8" name="Incomegroup">
              <a:extLst>
                <a:ext uri="{FF2B5EF4-FFF2-40B4-BE49-F238E27FC236}">
                  <a16:creationId xmlns:a16="http://schemas.microsoft.com/office/drawing/2014/main" id="{3C9B2928-3C46-D19A-6609-E07ADBC8F68A}"/>
                </a:ext>
              </a:extLst>
            </xdr:cNvPr>
            <xdr:cNvGraphicFramePr/>
          </xdr:nvGraphicFramePr>
          <xdr:xfrm>
            <a:off x="0" y="0"/>
            <a:ext cx="0" cy="0"/>
          </xdr:xfrm>
          <a:graphic>
            <a:graphicData uri="http://schemas.microsoft.com/office/drawing/2010/slicer">
              <sle:slicer xmlns:sle="http://schemas.microsoft.com/office/drawing/2010/slicer" name="Incomegroup"/>
            </a:graphicData>
          </a:graphic>
        </xdr:graphicFrame>
      </mc:Choice>
      <mc:Fallback xmlns="">
        <xdr:sp macro="" textlink="">
          <xdr:nvSpPr>
            <xdr:cNvPr id="0" name=""/>
            <xdr:cNvSpPr>
              <a:spLocks noTextEdit="1"/>
            </xdr:cNvSpPr>
          </xdr:nvSpPr>
          <xdr:spPr>
            <a:xfrm>
              <a:off x="4927600" y="3803650"/>
              <a:ext cx="11176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482600</xdr:colOff>
      <xdr:row>21</xdr:row>
      <xdr:rowOff>50800</xdr:rowOff>
    </xdr:from>
    <xdr:to>
      <xdr:col>19</xdr:col>
      <xdr:colOff>527050</xdr:colOff>
      <xdr:row>27</xdr:row>
      <xdr:rowOff>152400</xdr:rowOff>
    </xdr:to>
    <mc:AlternateContent xmlns:mc="http://schemas.openxmlformats.org/markup-compatibility/2006" xmlns:a14="http://schemas.microsoft.com/office/drawing/2010/main">
      <mc:Choice Requires="a14">
        <xdr:graphicFrame macro="">
          <xdr:nvGraphicFramePr>
            <xdr:cNvPr id="9" name="Customer_Status">
              <a:extLst>
                <a:ext uri="{FF2B5EF4-FFF2-40B4-BE49-F238E27FC236}">
                  <a16:creationId xmlns:a16="http://schemas.microsoft.com/office/drawing/2014/main" id="{0D191943-07BB-E99A-825B-73FCA808F3E1}"/>
                </a:ext>
              </a:extLst>
            </xdr:cNvPr>
            <xdr:cNvGraphicFramePr/>
          </xdr:nvGraphicFramePr>
          <xdr:xfrm>
            <a:off x="0" y="0"/>
            <a:ext cx="0" cy="0"/>
          </xdr:xfrm>
          <a:graphic>
            <a:graphicData uri="http://schemas.microsoft.com/office/drawing/2010/slicer">
              <sle:slicer xmlns:sle="http://schemas.microsoft.com/office/drawing/2010/slicer" name="Customer_Status"/>
            </a:graphicData>
          </a:graphic>
        </xdr:graphicFrame>
      </mc:Choice>
      <mc:Fallback xmlns="">
        <xdr:sp macro="" textlink="">
          <xdr:nvSpPr>
            <xdr:cNvPr id="0" name=""/>
            <xdr:cNvSpPr>
              <a:spLocks noTextEdit="1"/>
            </xdr:cNvSpPr>
          </xdr:nvSpPr>
          <xdr:spPr>
            <a:xfrm>
              <a:off x="10845800" y="3917950"/>
              <a:ext cx="126365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harsha Mallisetty" refreshedDate="46058.961343750001" createdVersion="8" refreshedVersion="8" minRefreshableVersion="3" recordCount="238" xr:uid="{DCD9602F-8D45-4398-B658-683078F23EC6}">
  <cacheSource type="worksheet">
    <worksheetSource name="Feature_Table"/>
  </cacheSource>
  <cacheFields count="13">
    <cacheField name="user_id" numFmtId="0">
      <sharedItems containsSemiMixedTypes="0" containsString="0" containsNumber="1" containsInteger="1" minValue="1" maxValue="238"/>
    </cacheField>
    <cacheField name="age" numFmtId="0">
      <sharedItems containsSemiMixedTypes="0" containsString="0" containsNumber="1" containsInteger="1" minValue="22" maxValue="55"/>
    </cacheField>
    <cacheField name="agegroup" numFmtId="0">
      <sharedItems containsBlank="1" count="5">
        <s v="25-34"/>
        <s v="45+"/>
        <s v="18-24"/>
        <s v="35-44"/>
        <m/>
      </sharedItems>
    </cacheField>
    <cacheField name="annual_income" numFmtId="0">
      <sharedItems containsSemiMixedTypes="0" containsString="0" containsNumber="1" containsInteger="1" minValue="30000" maxValue="75000"/>
    </cacheField>
    <cacheField name="Incomegroup" numFmtId="0">
      <sharedItems count="3">
        <s v="Medium"/>
        <s v="High"/>
        <s v="Low"/>
      </sharedItems>
    </cacheField>
    <cacheField name="purchase_amount" numFmtId="0">
      <sharedItems containsSemiMixedTypes="0" containsString="0" containsNumber="1" containsInteger="1" minValue="150" maxValue="640"/>
    </cacheField>
    <cacheField name="loyaltyscore" numFmtId="0">
      <sharedItems containsSemiMixedTypes="0" containsString="0" containsNumber="1" minValue="3" maxValue="9.5"/>
    </cacheField>
    <cacheField name="customersegment" numFmtId="0">
      <sharedItems/>
    </cacheField>
    <cacheField name="region" numFmtId="0">
      <sharedItems count="4">
        <s v="North"/>
        <s v="South"/>
        <s v="West"/>
        <s v="East"/>
      </sharedItems>
    </cacheField>
    <cacheField name="purchase_frequency" numFmtId="0">
      <sharedItems containsSemiMixedTypes="0" containsString="0" containsNumber="1" containsInteger="1" minValue="10" maxValue="28"/>
    </cacheField>
    <cacheField name="Spending_Level" numFmtId="0">
      <sharedItems/>
    </cacheField>
    <cacheField name="Customer_Status" numFmtId="0">
      <sharedItems count="3">
        <s v="At Risk"/>
        <s v="Regular"/>
        <s v="Loyal"/>
      </sharedItems>
    </cacheField>
    <cacheField name="Final_Segment" numFmtId="0">
      <sharedItems/>
    </cacheField>
  </cacheFields>
  <extLst>
    <ext xmlns:x14="http://schemas.microsoft.com/office/spreadsheetml/2009/9/main" uri="{725AE2AE-9491-48be-B2B4-4EB974FC3084}">
      <x14:pivotCacheDefinition pivotCacheId="3798225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n v="1"/>
    <n v="25"/>
    <x v="0"/>
    <n v="45000"/>
    <x v="0"/>
    <n v="200"/>
    <n v="4.5"/>
    <s v="Low Value"/>
    <x v="0"/>
    <n v="12"/>
    <s v="Low Spender"/>
    <x v="0"/>
    <s v="Low Value | Low Spender | At Risk"/>
  </r>
  <r>
    <n v="2"/>
    <n v="34"/>
    <x v="0"/>
    <n v="55000"/>
    <x v="0"/>
    <n v="350"/>
    <n v="7"/>
    <s v="Medium Value"/>
    <x v="1"/>
    <n v="18"/>
    <s v="Medium Spender"/>
    <x v="1"/>
    <s v="Medium Value | Medium Spender | Regular"/>
  </r>
  <r>
    <n v="3"/>
    <n v="45"/>
    <x v="1"/>
    <n v="65000"/>
    <x v="1"/>
    <n v="500"/>
    <n v="8"/>
    <s v="High Value"/>
    <x v="2"/>
    <n v="22"/>
    <s v="High Spender"/>
    <x v="2"/>
    <s v="High Value | High Spender | Loyal"/>
  </r>
  <r>
    <n v="4"/>
    <n v="22"/>
    <x v="2"/>
    <n v="30000"/>
    <x v="2"/>
    <n v="150"/>
    <n v="3"/>
    <s v="Low Value"/>
    <x v="3"/>
    <n v="10"/>
    <s v="Low Spender"/>
    <x v="0"/>
    <s v="Low Value | Low Spender | At Risk"/>
  </r>
  <r>
    <n v="5"/>
    <n v="29"/>
    <x v="0"/>
    <n v="47000"/>
    <x v="0"/>
    <n v="220"/>
    <n v="4.8"/>
    <s v="Low Value"/>
    <x v="0"/>
    <n v="13"/>
    <s v="Low Spender"/>
    <x v="0"/>
    <s v="Low Value | Low Spender | At Risk"/>
  </r>
  <r>
    <n v="6"/>
    <n v="41"/>
    <x v="3"/>
    <n v="61000"/>
    <x v="1"/>
    <n v="480"/>
    <n v="7.8"/>
    <s v="Medium Value"/>
    <x v="1"/>
    <n v="21"/>
    <s v="High Spender"/>
    <x v="1"/>
    <s v="Medium Value | High Spender | Regular"/>
  </r>
  <r>
    <n v="7"/>
    <n v="36"/>
    <x v="3"/>
    <n v="54000"/>
    <x v="0"/>
    <n v="400"/>
    <n v="6.5"/>
    <s v="Medium Value"/>
    <x v="2"/>
    <n v="19"/>
    <s v="High Spender"/>
    <x v="1"/>
    <s v="Medium Value | High Spender | Regular"/>
  </r>
  <r>
    <n v="8"/>
    <n v="27"/>
    <x v="0"/>
    <n v="43000"/>
    <x v="0"/>
    <n v="230"/>
    <n v="4.2"/>
    <s v="Low Value"/>
    <x v="3"/>
    <n v="14"/>
    <s v="Low Spender"/>
    <x v="0"/>
    <s v="Low Value | Low Spender | At Risk"/>
  </r>
  <r>
    <n v="9"/>
    <n v="50"/>
    <x v="1"/>
    <n v="70000"/>
    <x v="1"/>
    <n v="600"/>
    <n v="9"/>
    <s v="High Value"/>
    <x v="0"/>
    <n v="25"/>
    <s v="High Spender"/>
    <x v="2"/>
    <s v="High Value | High Spender | Loyal"/>
  </r>
  <r>
    <n v="10"/>
    <n v="31"/>
    <x v="0"/>
    <n v="50000"/>
    <x v="0"/>
    <n v="320"/>
    <n v="5.5"/>
    <s v="Medium Value"/>
    <x v="1"/>
    <n v="17"/>
    <s v="Medium Spender"/>
    <x v="1"/>
    <s v="Medium Value | Medium Spender | Regular"/>
  </r>
  <r>
    <n v="11"/>
    <n v="28"/>
    <x v="0"/>
    <n v="46000"/>
    <x v="0"/>
    <n v="250"/>
    <n v="4.4000000000000004"/>
    <s v="Low Value"/>
    <x v="2"/>
    <n v="15"/>
    <s v="Medium Spender"/>
    <x v="0"/>
    <s v="Low Value | Medium Spender | At Risk"/>
  </r>
  <r>
    <n v="12"/>
    <n v="42"/>
    <x v="3"/>
    <n v="62000"/>
    <x v="1"/>
    <n v="520"/>
    <n v="8.1999999999999993"/>
    <s v="High Value"/>
    <x v="0"/>
    <n v="23"/>
    <s v="High Spender"/>
    <x v="2"/>
    <s v="High Value | High Spender | Loyal"/>
  </r>
  <r>
    <n v="13"/>
    <n v="33"/>
    <x v="0"/>
    <n v="53000"/>
    <x v="0"/>
    <n v="380"/>
    <n v="6"/>
    <s v="Medium Value"/>
    <x v="1"/>
    <n v="18"/>
    <s v="Medium Spender"/>
    <x v="1"/>
    <s v="Medium Value | Medium Spender | Regular"/>
  </r>
  <r>
    <n v="14"/>
    <n v="37"/>
    <x v="3"/>
    <n v="58000"/>
    <x v="0"/>
    <n v="420"/>
    <n v="6.8"/>
    <s v="Medium Value"/>
    <x v="3"/>
    <n v="20"/>
    <s v="High Spender"/>
    <x v="1"/>
    <s v="Medium Value | High Spender | Regular"/>
  </r>
  <r>
    <n v="15"/>
    <n v="49"/>
    <x v="1"/>
    <n v="69000"/>
    <x v="1"/>
    <n v="590"/>
    <n v="8.9"/>
    <s v="High Value"/>
    <x v="2"/>
    <n v="24"/>
    <s v="High Spender"/>
    <x v="2"/>
    <s v="High Value | High Spender | Loyal"/>
  </r>
  <r>
    <n v="16"/>
    <n v="23"/>
    <x v="2"/>
    <n v="31000"/>
    <x v="2"/>
    <n v="160"/>
    <n v="3.2"/>
    <s v="Low Value"/>
    <x v="0"/>
    <n v="11"/>
    <s v="Low Spender"/>
    <x v="0"/>
    <s v="Low Value | Low Spender | At Risk"/>
  </r>
  <r>
    <n v="17"/>
    <n v="39"/>
    <x v="3"/>
    <n v="57000"/>
    <x v="0"/>
    <n v="440"/>
    <n v="7"/>
    <s v="Medium Value"/>
    <x v="1"/>
    <n v="21"/>
    <s v="High Spender"/>
    <x v="1"/>
    <s v="Medium Value | High Spender | Regular"/>
  </r>
  <r>
    <n v="18"/>
    <n v="30"/>
    <x v="0"/>
    <n v="49000"/>
    <x v="0"/>
    <n v="300"/>
    <n v="5"/>
    <s v="Medium Value"/>
    <x v="2"/>
    <n v="16"/>
    <s v="Medium Spender"/>
    <x v="1"/>
    <s v="Medium Value | Medium Spender | Regular"/>
  </r>
  <r>
    <n v="19"/>
    <n v="46"/>
    <x v="1"/>
    <n v="66000"/>
    <x v="1"/>
    <n v="510"/>
    <n v="8.1"/>
    <s v="High Value"/>
    <x v="0"/>
    <n v="22"/>
    <s v="High Spender"/>
    <x v="2"/>
    <s v="High Value | High Spender | Loyal"/>
  </r>
  <r>
    <n v="20"/>
    <n v="26"/>
    <x v="0"/>
    <n v="44000"/>
    <x v="0"/>
    <n v="240"/>
    <n v="4.3"/>
    <s v="Low Value"/>
    <x v="3"/>
    <n v="14"/>
    <s v="Low Spender"/>
    <x v="0"/>
    <s v="Low Value | Low Spender | At Risk"/>
  </r>
  <r>
    <n v="21"/>
    <n v="52"/>
    <x v="1"/>
    <n v="72000"/>
    <x v="1"/>
    <n v="610"/>
    <n v="9.1999999999999993"/>
    <s v="High Value"/>
    <x v="1"/>
    <n v="26"/>
    <s v="High Spender"/>
    <x v="2"/>
    <s v="High Value | High Spender | Loyal"/>
  </r>
  <r>
    <n v="22"/>
    <n v="24"/>
    <x v="2"/>
    <n v="32000"/>
    <x v="2"/>
    <n v="170"/>
    <n v="3.3"/>
    <s v="Low Value"/>
    <x v="2"/>
    <n v="12"/>
    <s v="Low Spender"/>
    <x v="0"/>
    <s v="Low Value | Low Spender | At Risk"/>
  </r>
  <r>
    <n v="23"/>
    <n v="44"/>
    <x v="3"/>
    <n v="63000"/>
    <x v="1"/>
    <n v="460"/>
    <n v="7.5"/>
    <s v="Medium Value"/>
    <x v="0"/>
    <n v="21"/>
    <s v="High Spender"/>
    <x v="1"/>
    <s v="Medium Value | High Spender | Regular"/>
  </r>
  <r>
    <n v="24"/>
    <n v="35"/>
    <x v="3"/>
    <n v="56000"/>
    <x v="0"/>
    <n v="390"/>
    <n v="6.2"/>
    <s v="Medium Value"/>
    <x v="1"/>
    <n v="19"/>
    <s v="Medium Spender"/>
    <x v="1"/>
    <s v="Medium Value | Medium Spender | Regular"/>
  </r>
  <r>
    <n v="25"/>
    <n v="38"/>
    <x v="3"/>
    <n v="59000"/>
    <x v="0"/>
    <n v="430"/>
    <n v="6.9"/>
    <s v="Medium Value"/>
    <x v="3"/>
    <n v="20"/>
    <s v="High Spender"/>
    <x v="1"/>
    <s v="Medium Value | High Spender | Regular"/>
  </r>
  <r>
    <n v="26"/>
    <n v="47"/>
    <x v="1"/>
    <n v="67000"/>
    <x v="1"/>
    <n v="530"/>
    <n v="8.3000000000000007"/>
    <s v="High Value"/>
    <x v="2"/>
    <n v="23"/>
    <s v="High Spender"/>
    <x v="2"/>
    <s v="High Value | High Spender | Loyal"/>
  </r>
  <r>
    <n v="27"/>
    <n v="32"/>
    <x v="0"/>
    <n v="52000"/>
    <x v="0"/>
    <n v="360"/>
    <n v="5.8"/>
    <s v="Medium Value"/>
    <x v="0"/>
    <n v="18"/>
    <s v="Medium Spender"/>
    <x v="1"/>
    <s v="Medium Value | Medium Spender | Regular"/>
  </r>
  <r>
    <n v="28"/>
    <n v="29"/>
    <x v="0"/>
    <n v="48000"/>
    <x v="0"/>
    <n v="280"/>
    <n v="4.5999999999999996"/>
    <s v="Low Value"/>
    <x v="1"/>
    <n v="15"/>
    <s v="Medium Spender"/>
    <x v="0"/>
    <s v="Low Value | Medium Spender | At Risk"/>
  </r>
  <r>
    <n v="29"/>
    <n v="51"/>
    <x v="1"/>
    <n v="71000"/>
    <x v="1"/>
    <n v="600"/>
    <n v="9"/>
    <s v="High Value"/>
    <x v="2"/>
    <n v="25"/>
    <s v="High Spender"/>
    <x v="2"/>
    <s v="High Value | High Spender | Loyal"/>
  </r>
  <r>
    <n v="30"/>
    <n v="40"/>
    <x v="3"/>
    <n v="60000"/>
    <x v="1"/>
    <n v="450"/>
    <n v="7.2"/>
    <s v="Medium Value"/>
    <x v="3"/>
    <n v="22"/>
    <s v="High Spender"/>
    <x v="1"/>
    <s v="Medium Value | High Spender | Regular"/>
  </r>
  <r>
    <n v="31"/>
    <n v="34"/>
    <x v="0"/>
    <n v="55000"/>
    <x v="0"/>
    <n v="350"/>
    <n v="6.5"/>
    <s v="Medium Value"/>
    <x v="0"/>
    <n v="19"/>
    <s v="Medium Spender"/>
    <x v="1"/>
    <s v="Medium Value | Medium Spender | Regular"/>
  </r>
  <r>
    <n v="32"/>
    <n v="43"/>
    <x v="3"/>
    <n v="64000"/>
    <x v="1"/>
    <n v="470"/>
    <n v="7.8"/>
    <s v="Medium Value"/>
    <x v="1"/>
    <n v="21"/>
    <s v="High Spender"/>
    <x v="1"/>
    <s v="Medium Value | High Spender | Regular"/>
  </r>
  <r>
    <n v="33"/>
    <n v="31"/>
    <x v="0"/>
    <n v="50000"/>
    <x v="0"/>
    <n v="320"/>
    <n v="5.5"/>
    <s v="Medium Value"/>
    <x v="2"/>
    <n v="16"/>
    <s v="Medium Spender"/>
    <x v="1"/>
    <s v="Medium Value | Medium Spender | Regular"/>
  </r>
  <r>
    <n v="34"/>
    <n v="27"/>
    <x v="0"/>
    <n v="43000"/>
    <x v="0"/>
    <n v="230"/>
    <n v="4"/>
    <s v="Low Value"/>
    <x v="0"/>
    <n v="14"/>
    <s v="Low Spender"/>
    <x v="0"/>
    <s v="Low Value | Low Spender | At Risk"/>
  </r>
  <r>
    <n v="35"/>
    <n v="55"/>
    <x v="1"/>
    <n v="75000"/>
    <x v="1"/>
    <n v="640"/>
    <n v="9.5"/>
    <s v="High Value"/>
    <x v="1"/>
    <n v="28"/>
    <s v="High Spender"/>
    <x v="2"/>
    <s v="High Value | High Spender | Loyal"/>
  </r>
  <r>
    <n v="36"/>
    <n v="25"/>
    <x v="0"/>
    <n v="45000"/>
    <x v="0"/>
    <n v="200"/>
    <n v="4.5"/>
    <s v="Low Value"/>
    <x v="2"/>
    <n v="12"/>
    <s v="Low Spender"/>
    <x v="0"/>
    <s v="Low Value | Low Spender | At Risk"/>
  </r>
  <r>
    <n v="37"/>
    <n v="48"/>
    <x v="1"/>
    <n v="68000"/>
    <x v="1"/>
    <n v="550"/>
    <n v="8.5"/>
    <s v="High Value"/>
    <x v="0"/>
    <n v="24"/>
    <s v="High Spender"/>
    <x v="2"/>
    <s v="High Value | High Spender | Loyal"/>
  </r>
  <r>
    <n v="38"/>
    <n v="30"/>
    <x v="0"/>
    <n v="49000"/>
    <x v="0"/>
    <n v="300"/>
    <n v="5"/>
    <s v="Medium Value"/>
    <x v="1"/>
    <n v="17"/>
    <s v="Medium Spender"/>
    <x v="1"/>
    <s v="Medium Value | Medium Spender | Regular"/>
  </r>
  <r>
    <n v="39"/>
    <n v="53"/>
    <x v="1"/>
    <n v="73000"/>
    <x v="1"/>
    <n v="620"/>
    <n v="9.3000000000000007"/>
    <s v="High Value"/>
    <x v="2"/>
    <n v="27"/>
    <s v="High Spender"/>
    <x v="2"/>
    <s v="High Value | High Spender | Loyal"/>
  </r>
  <r>
    <n v="40"/>
    <n v="28"/>
    <x v="0"/>
    <n v="46000"/>
    <x v="0"/>
    <n v="250"/>
    <n v="4.2"/>
    <s v="Low Value"/>
    <x v="0"/>
    <n v="14"/>
    <s v="Medium Spender"/>
    <x v="0"/>
    <s v="Low Value | Medium Spender | At Risk"/>
  </r>
  <r>
    <n v="41"/>
    <n v="39"/>
    <x v="3"/>
    <n v="57000"/>
    <x v="0"/>
    <n v="440"/>
    <n v="7"/>
    <s v="Medium Value"/>
    <x v="1"/>
    <n v="21"/>
    <s v="High Spender"/>
    <x v="1"/>
    <s v="Medium Value | High Spender | Regular"/>
  </r>
  <r>
    <n v="42"/>
    <n v="37"/>
    <x v="3"/>
    <n v="58000"/>
    <x v="0"/>
    <n v="420"/>
    <n v="6.8"/>
    <s v="Medium Value"/>
    <x v="2"/>
    <n v="20"/>
    <s v="High Spender"/>
    <x v="1"/>
    <s v="Medium Value | High Spender | Regular"/>
  </r>
  <r>
    <n v="43"/>
    <n v="46"/>
    <x v="1"/>
    <n v="66000"/>
    <x v="1"/>
    <n v="510"/>
    <n v="8.1"/>
    <s v="High Value"/>
    <x v="0"/>
    <n v="22"/>
    <s v="High Spender"/>
    <x v="2"/>
    <s v="High Value | High Spender | Loyal"/>
  </r>
  <r>
    <n v="44"/>
    <n v="33"/>
    <x v="0"/>
    <n v="53000"/>
    <x v="0"/>
    <n v="380"/>
    <n v="6"/>
    <s v="Medium Value"/>
    <x v="1"/>
    <n v="18"/>
    <s v="Medium Spender"/>
    <x v="1"/>
    <s v="Medium Value | Medium Spender | Regular"/>
  </r>
  <r>
    <n v="45"/>
    <n v="52"/>
    <x v="1"/>
    <n v="72000"/>
    <x v="1"/>
    <n v="610"/>
    <n v="9.1999999999999993"/>
    <s v="High Value"/>
    <x v="2"/>
    <n v="26"/>
    <s v="High Spender"/>
    <x v="2"/>
    <s v="High Value | High Spender | Loyal"/>
  </r>
  <r>
    <n v="46"/>
    <n v="29"/>
    <x v="0"/>
    <n v="47000"/>
    <x v="0"/>
    <n v="220"/>
    <n v="4.4000000000000004"/>
    <s v="Low Value"/>
    <x v="0"/>
    <n v="13"/>
    <s v="Low Spender"/>
    <x v="0"/>
    <s v="Low Value | Low Spender | At Risk"/>
  </r>
  <r>
    <n v="47"/>
    <n v="41"/>
    <x v="3"/>
    <n v="61000"/>
    <x v="1"/>
    <n v="480"/>
    <n v="7.8"/>
    <s v="Medium Value"/>
    <x v="1"/>
    <n v="21"/>
    <s v="High Spender"/>
    <x v="1"/>
    <s v="Medium Value | High Spender | Regular"/>
  </r>
  <r>
    <n v="48"/>
    <n v="50"/>
    <x v="1"/>
    <n v="70000"/>
    <x v="1"/>
    <n v="600"/>
    <n v="9"/>
    <s v="High Value"/>
    <x v="2"/>
    <n v="25"/>
    <s v="High Spender"/>
    <x v="2"/>
    <s v="High Value | High Spender | Loyal"/>
  </r>
  <r>
    <n v="49"/>
    <n v="36"/>
    <x v="3"/>
    <n v="54000"/>
    <x v="0"/>
    <n v="400"/>
    <n v="6.5"/>
    <s v="Medium Value"/>
    <x v="0"/>
    <n v="19"/>
    <s v="High Spender"/>
    <x v="1"/>
    <s v="Medium Value | High Spender | Regular"/>
  </r>
  <r>
    <n v="50"/>
    <n v="24"/>
    <x v="2"/>
    <n v="32000"/>
    <x v="2"/>
    <n v="170"/>
    <n v="3.3"/>
    <s v="Low Value"/>
    <x v="1"/>
    <n v="11"/>
    <s v="Low Spender"/>
    <x v="0"/>
    <s v="Low Value | Low Spender | At Risk"/>
  </r>
  <r>
    <n v="51"/>
    <n v="49"/>
    <x v="1"/>
    <n v="69000"/>
    <x v="1"/>
    <n v="590"/>
    <n v="8.9"/>
    <s v="High Value"/>
    <x v="2"/>
    <n v="24"/>
    <s v="High Spender"/>
    <x v="2"/>
    <s v="High Value | High Spender | Loyal"/>
  </r>
  <r>
    <n v="52"/>
    <n v="26"/>
    <x v="0"/>
    <n v="44000"/>
    <x v="0"/>
    <n v="240"/>
    <n v="4.3"/>
    <s v="Low Value"/>
    <x v="0"/>
    <n v="14"/>
    <s v="Low Spender"/>
    <x v="0"/>
    <s v="Low Value | Low Spender | At Risk"/>
  </r>
  <r>
    <n v="53"/>
    <n v="45"/>
    <x v="1"/>
    <n v="65000"/>
    <x v="1"/>
    <n v="500"/>
    <n v="8"/>
    <s v="High Value"/>
    <x v="1"/>
    <n v="22"/>
    <s v="High Spender"/>
    <x v="2"/>
    <s v="High Value | High Spender | Loyal"/>
  </r>
  <r>
    <n v="54"/>
    <n v="40"/>
    <x v="3"/>
    <n v="60000"/>
    <x v="1"/>
    <n v="450"/>
    <n v="7.2"/>
    <s v="Medium Value"/>
    <x v="2"/>
    <n v="20"/>
    <s v="High Spender"/>
    <x v="1"/>
    <s v="Medium Value | High Spender | Regular"/>
  </r>
  <r>
    <n v="55"/>
    <n v="38"/>
    <x v="3"/>
    <n v="59000"/>
    <x v="0"/>
    <n v="430"/>
    <n v="6.9"/>
    <s v="Medium Value"/>
    <x v="0"/>
    <n v="20"/>
    <s v="High Spender"/>
    <x v="1"/>
    <s v="Medium Value | High Spender | Regular"/>
  </r>
  <r>
    <n v="56"/>
    <n v="54"/>
    <x v="1"/>
    <n v="74000"/>
    <x v="1"/>
    <n v="630"/>
    <n v="9.4"/>
    <s v="High Value"/>
    <x v="1"/>
    <n v="27"/>
    <s v="High Spender"/>
    <x v="2"/>
    <s v="High Value | High Spender | Loyal"/>
  </r>
  <r>
    <n v="57"/>
    <n v="32"/>
    <x v="0"/>
    <n v="52000"/>
    <x v="0"/>
    <n v="360"/>
    <n v="5.8"/>
    <s v="Medium Value"/>
    <x v="2"/>
    <n v="18"/>
    <s v="Medium Spender"/>
    <x v="1"/>
    <s v="Medium Value | Medium Spender | Regular"/>
  </r>
  <r>
    <n v="58"/>
    <n v="31"/>
    <x v="0"/>
    <n v="51000"/>
    <x v="0"/>
    <n v="340"/>
    <n v="5.6"/>
    <s v="Medium Value"/>
    <x v="0"/>
    <n v="17"/>
    <s v="Medium Spender"/>
    <x v="1"/>
    <s v="Medium Value | Medium Spender | Regular"/>
  </r>
  <r>
    <n v="59"/>
    <n v="42"/>
    <x v="3"/>
    <n v="62000"/>
    <x v="1"/>
    <n v="520"/>
    <n v="8.1999999999999993"/>
    <s v="High Value"/>
    <x v="1"/>
    <n v="23"/>
    <s v="High Spender"/>
    <x v="2"/>
    <s v="High Value | High Spender | Loyal"/>
  </r>
  <r>
    <n v="60"/>
    <n v="55"/>
    <x v="1"/>
    <n v="75000"/>
    <x v="1"/>
    <n v="640"/>
    <n v="9.5"/>
    <s v="High Value"/>
    <x v="2"/>
    <n v="28"/>
    <s v="High Spender"/>
    <x v="2"/>
    <s v="High Value | High Spender | Loyal"/>
  </r>
  <r>
    <n v="61"/>
    <n v="29"/>
    <x v="0"/>
    <n v="46000"/>
    <x v="0"/>
    <n v="270"/>
    <n v="4.3"/>
    <s v="Low Value"/>
    <x v="0"/>
    <n v="15"/>
    <s v="Medium Spender"/>
    <x v="0"/>
    <s v="Low Value | Medium Spender | At Risk"/>
  </r>
  <r>
    <n v="62"/>
    <n v="33"/>
    <x v="0"/>
    <n v="53000"/>
    <x v="0"/>
    <n v="380"/>
    <n v="6"/>
    <s v="Medium Value"/>
    <x v="1"/>
    <n v="18"/>
    <s v="Medium Spender"/>
    <x v="1"/>
    <s v="Medium Value | Medium Spender | Regular"/>
  </r>
  <r>
    <n v="63"/>
    <n v="51"/>
    <x v="1"/>
    <n v="71000"/>
    <x v="1"/>
    <n v="600"/>
    <n v="9"/>
    <s v="High Value"/>
    <x v="2"/>
    <n v="25"/>
    <s v="High Spender"/>
    <x v="2"/>
    <s v="High Value | High Spender | Loyal"/>
  </r>
  <r>
    <n v="64"/>
    <n v="27"/>
    <x v="0"/>
    <n v="43000"/>
    <x v="0"/>
    <n v="230"/>
    <n v="4"/>
    <s v="Low Value"/>
    <x v="0"/>
    <n v="14"/>
    <s v="Low Spender"/>
    <x v="0"/>
    <s v="Low Value | Low Spender | At Risk"/>
  </r>
  <r>
    <n v="65"/>
    <n v="43"/>
    <x v="3"/>
    <n v="63000"/>
    <x v="1"/>
    <n v="470"/>
    <n v="7.8"/>
    <s v="Medium Value"/>
    <x v="1"/>
    <n v="21"/>
    <s v="High Spender"/>
    <x v="1"/>
    <s v="Medium Value | High Spender | Regular"/>
  </r>
  <r>
    <n v="66"/>
    <n v="41"/>
    <x v="3"/>
    <n v="61000"/>
    <x v="1"/>
    <n v="480"/>
    <n v="7.7"/>
    <s v="Medium Value"/>
    <x v="2"/>
    <n v="22"/>
    <s v="High Spender"/>
    <x v="1"/>
    <s v="Medium Value | High Spender | Regular"/>
  </r>
  <r>
    <n v="67"/>
    <n v="50"/>
    <x v="1"/>
    <n v="70000"/>
    <x v="1"/>
    <n v="600"/>
    <n v="9"/>
    <s v="High Value"/>
    <x v="0"/>
    <n v="25"/>
    <s v="High Spender"/>
    <x v="2"/>
    <s v="High Value | High Spender | Loyal"/>
  </r>
  <r>
    <n v="68"/>
    <n v="24"/>
    <x v="2"/>
    <n v="32000"/>
    <x v="2"/>
    <n v="170"/>
    <n v="3.3"/>
    <s v="Low Value"/>
    <x v="1"/>
    <n v="11"/>
    <s v="Low Spender"/>
    <x v="0"/>
    <s v="Low Value | Low Spender | At Risk"/>
  </r>
  <r>
    <n v="69"/>
    <n v="48"/>
    <x v="1"/>
    <n v="68000"/>
    <x v="1"/>
    <n v="550"/>
    <n v="8.5"/>
    <s v="High Value"/>
    <x v="2"/>
    <n v="24"/>
    <s v="High Spender"/>
    <x v="2"/>
    <s v="High Value | High Spender | Loyal"/>
  </r>
  <r>
    <n v="70"/>
    <n v="30"/>
    <x v="0"/>
    <n v="49000"/>
    <x v="0"/>
    <n v="300"/>
    <n v="5"/>
    <s v="Medium Value"/>
    <x v="0"/>
    <n v="16"/>
    <s v="Medium Spender"/>
    <x v="1"/>
    <s v="Medium Value | Medium Spender | Regular"/>
  </r>
  <r>
    <n v="71"/>
    <n v="39"/>
    <x v="3"/>
    <n v="57000"/>
    <x v="0"/>
    <n v="440"/>
    <n v="7"/>
    <s v="Medium Value"/>
    <x v="1"/>
    <n v="21"/>
    <s v="High Spender"/>
    <x v="1"/>
    <s v="Medium Value | High Spender | Regular"/>
  </r>
  <r>
    <n v="72"/>
    <n v="37"/>
    <x v="3"/>
    <n v="58000"/>
    <x v="0"/>
    <n v="420"/>
    <n v="6.8"/>
    <s v="Medium Value"/>
    <x v="2"/>
    <n v="20"/>
    <s v="High Spender"/>
    <x v="1"/>
    <s v="Medium Value | High Spender | Regular"/>
  </r>
  <r>
    <n v="73"/>
    <n v="46"/>
    <x v="1"/>
    <n v="66000"/>
    <x v="1"/>
    <n v="510"/>
    <n v="8.1"/>
    <s v="High Value"/>
    <x v="0"/>
    <n v="22"/>
    <s v="High Spender"/>
    <x v="2"/>
    <s v="High Value | High Spender | Loyal"/>
  </r>
  <r>
    <n v="74"/>
    <n v="33"/>
    <x v="0"/>
    <n v="53000"/>
    <x v="0"/>
    <n v="380"/>
    <n v="6"/>
    <s v="Medium Value"/>
    <x v="1"/>
    <n v="18"/>
    <s v="Medium Spender"/>
    <x v="1"/>
    <s v="Medium Value | Medium Spender | Regular"/>
  </r>
  <r>
    <n v="75"/>
    <n v="52"/>
    <x v="1"/>
    <n v="72000"/>
    <x v="1"/>
    <n v="610"/>
    <n v="9.1999999999999993"/>
    <s v="High Value"/>
    <x v="2"/>
    <n v="26"/>
    <s v="High Spender"/>
    <x v="2"/>
    <s v="High Value | High Spender | Loyal"/>
  </r>
  <r>
    <n v="76"/>
    <n v="28"/>
    <x v="0"/>
    <n v="46000"/>
    <x v="0"/>
    <n v="250"/>
    <n v="4.2"/>
    <s v="Low Value"/>
    <x v="0"/>
    <n v="14"/>
    <s v="Medium Spender"/>
    <x v="0"/>
    <s v="Low Value | Medium Spender | At Risk"/>
  </r>
  <r>
    <n v="77"/>
    <n v="41"/>
    <x v="3"/>
    <n v="61000"/>
    <x v="1"/>
    <n v="480"/>
    <n v="7.8"/>
    <s v="Medium Value"/>
    <x v="1"/>
    <n v="21"/>
    <s v="High Spender"/>
    <x v="1"/>
    <s v="Medium Value | High Spender | Regular"/>
  </r>
  <r>
    <n v="78"/>
    <n v="50"/>
    <x v="1"/>
    <n v="70000"/>
    <x v="1"/>
    <n v="600"/>
    <n v="9"/>
    <s v="High Value"/>
    <x v="2"/>
    <n v="25"/>
    <s v="High Spender"/>
    <x v="2"/>
    <s v="High Value | High Spender | Loyal"/>
  </r>
  <r>
    <n v="79"/>
    <n v="36"/>
    <x v="3"/>
    <n v="54000"/>
    <x v="0"/>
    <n v="400"/>
    <n v="6.5"/>
    <s v="Medium Value"/>
    <x v="0"/>
    <n v="19"/>
    <s v="High Spender"/>
    <x v="1"/>
    <s v="Medium Value | High Spender | Regular"/>
  </r>
  <r>
    <n v="80"/>
    <n v="24"/>
    <x v="2"/>
    <n v="32000"/>
    <x v="2"/>
    <n v="170"/>
    <n v="3.3"/>
    <s v="Low Value"/>
    <x v="1"/>
    <n v="11"/>
    <s v="Low Spender"/>
    <x v="0"/>
    <s v="Low Value | Low Spender | At Risk"/>
  </r>
  <r>
    <n v="81"/>
    <n v="49"/>
    <x v="1"/>
    <n v="69000"/>
    <x v="1"/>
    <n v="590"/>
    <n v="8.9"/>
    <s v="High Value"/>
    <x v="2"/>
    <n v="24"/>
    <s v="High Spender"/>
    <x v="2"/>
    <s v="High Value | High Spender | Loyal"/>
  </r>
  <r>
    <n v="82"/>
    <n v="26"/>
    <x v="0"/>
    <n v="44000"/>
    <x v="0"/>
    <n v="240"/>
    <n v="4.3"/>
    <s v="Low Value"/>
    <x v="0"/>
    <n v="14"/>
    <s v="Low Spender"/>
    <x v="0"/>
    <s v="Low Value | Low Spender | At Risk"/>
  </r>
  <r>
    <n v="83"/>
    <n v="45"/>
    <x v="1"/>
    <n v="65000"/>
    <x v="1"/>
    <n v="500"/>
    <n v="8"/>
    <s v="High Value"/>
    <x v="1"/>
    <n v="22"/>
    <s v="High Spender"/>
    <x v="2"/>
    <s v="High Value | High Spender | Loyal"/>
  </r>
  <r>
    <n v="84"/>
    <n v="40"/>
    <x v="3"/>
    <n v="60000"/>
    <x v="1"/>
    <n v="450"/>
    <n v="7.2"/>
    <s v="Medium Value"/>
    <x v="2"/>
    <n v="20"/>
    <s v="High Spender"/>
    <x v="1"/>
    <s v="Medium Value | High Spender | Regular"/>
  </r>
  <r>
    <n v="85"/>
    <n v="38"/>
    <x v="3"/>
    <n v="59000"/>
    <x v="0"/>
    <n v="430"/>
    <n v="6.9"/>
    <s v="Medium Value"/>
    <x v="0"/>
    <n v="20"/>
    <s v="High Spender"/>
    <x v="1"/>
    <s v="Medium Value | High Spender | Regular"/>
  </r>
  <r>
    <n v="86"/>
    <n v="54"/>
    <x v="1"/>
    <n v="74000"/>
    <x v="1"/>
    <n v="630"/>
    <n v="9.4"/>
    <s v="High Value"/>
    <x v="1"/>
    <n v="27"/>
    <s v="High Spender"/>
    <x v="2"/>
    <s v="High Value | High Spender | Loyal"/>
  </r>
  <r>
    <n v="87"/>
    <n v="32"/>
    <x v="0"/>
    <n v="52000"/>
    <x v="0"/>
    <n v="360"/>
    <n v="5.8"/>
    <s v="Medium Value"/>
    <x v="2"/>
    <n v="18"/>
    <s v="Medium Spender"/>
    <x v="1"/>
    <s v="Medium Value | Medium Spender | Regular"/>
  </r>
  <r>
    <n v="88"/>
    <n v="31"/>
    <x v="0"/>
    <n v="51000"/>
    <x v="0"/>
    <n v="340"/>
    <n v="5.6"/>
    <s v="Medium Value"/>
    <x v="0"/>
    <n v="17"/>
    <s v="Medium Spender"/>
    <x v="1"/>
    <s v="Medium Value | Medium Spender | Regular"/>
  </r>
  <r>
    <n v="89"/>
    <n v="42"/>
    <x v="3"/>
    <n v="62000"/>
    <x v="1"/>
    <n v="520"/>
    <n v="8.1999999999999993"/>
    <s v="High Value"/>
    <x v="1"/>
    <n v="23"/>
    <s v="High Spender"/>
    <x v="2"/>
    <s v="High Value | High Spender | Loyal"/>
  </r>
  <r>
    <n v="90"/>
    <n v="55"/>
    <x v="1"/>
    <n v="75000"/>
    <x v="1"/>
    <n v="640"/>
    <n v="9.5"/>
    <s v="High Value"/>
    <x v="2"/>
    <n v="28"/>
    <s v="High Spender"/>
    <x v="2"/>
    <s v="High Value | High Spender | Loyal"/>
  </r>
  <r>
    <n v="91"/>
    <n v="29"/>
    <x v="0"/>
    <n v="46000"/>
    <x v="0"/>
    <n v="270"/>
    <n v="4.3"/>
    <s v="Low Value"/>
    <x v="0"/>
    <n v="15"/>
    <s v="Medium Spender"/>
    <x v="0"/>
    <s v="Low Value | Medium Spender | At Risk"/>
  </r>
  <r>
    <n v="92"/>
    <n v="33"/>
    <x v="0"/>
    <n v="53000"/>
    <x v="0"/>
    <n v="380"/>
    <n v="6"/>
    <s v="Medium Value"/>
    <x v="1"/>
    <n v="18"/>
    <s v="Medium Spender"/>
    <x v="1"/>
    <s v="Medium Value | Medium Spender | Regular"/>
  </r>
  <r>
    <n v="93"/>
    <n v="51"/>
    <x v="1"/>
    <n v="71000"/>
    <x v="1"/>
    <n v="600"/>
    <n v="9"/>
    <s v="High Value"/>
    <x v="2"/>
    <n v="25"/>
    <s v="High Spender"/>
    <x v="2"/>
    <s v="High Value | High Spender | Loyal"/>
  </r>
  <r>
    <n v="94"/>
    <n v="27"/>
    <x v="0"/>
    <n v="43000"/>
    <x v="0"/>
    <n v="230"/>
    <n v="4"/>
    <s v="Low Value"/>
    <x v="0"/>
    <n v="14"/>
    <s v="Low Spender"/>
    <x v="0"/>
    <s v="Low Value | Low Spender | At Risk"/>
  </r>
  <r>
    <n v="95"/>
    <n v="43"/>
    <x v="3"/>
    <n v="63000"/>
    <x v="1"/>
    <n v="470"/>
    <n v="7.8"/>
    <s v="Medium Value"/>
    <x v="1"/>
    <n v="21"/>
    <s v="High Spender"/>
    <x v="1"/>
    <s v="Medium Value | High Spender | Regular"/>
  </r>
  <r>
    <n v="96"/>
    <n v="41"/>
    <x v="3"/>
    <n v="61000"/>
    <x v="1"/>
    <n v="480"/>
    <n v="7.7"/>
    <s v="Medium Value"/>
    <x v="2"/>
    <n v="22"/>
    <s v="High Spender"/>
    <x v="1"/>
    <s v="Medium Value | High Spender | Regular"/>
  </r>
  <r>
    <n v="97"/>
    <n v="50"/>
    <x v="1"/>
    <n v="70000"/>
    <x v="1"/>
    <n v="600"/>
    <n v="9"/>
    <s v="High Value"/>
    <x v="0"/>
    <n v="25"/>
    <s v="High Spender"/>
    <x v="2"/>
    <s v="High Value | High Spender | Loyal"/>
  </r>
  <r>
    <n v="98"/>
    <n v="24"/>
    <x v="2"/>
    <n v="32000"/>
    <x v="2"/>
    <n v="170"/>
    <n v="3.3"/>
    <s v="Low Value"/>
    <x v="1"/>
    <n v="11"/>
    <s v="Low Spender"/>
    <x v="0"/>
    <s v="Low Value | Low Spender | At Risk"/>
  </r>
  <r>
    <n v="99"/>
    <n v="48"/>
    <x v="1"/>
    <n v="68000"/>
    <x v="1"/>
    <n v="550"/>
    <n v="8.5"/>
    <s v="High Value"/>
    <x v="2"/>
    <n v="24"/>
    <s v="High Spender"/>
    <x v="2"/>
    <s v="High Value | High Spender | Loyal"/>
  </r>
  <r>
    <n v="100"/>
    <n v="30"/>
    <x v="0"/>
    <n v="49000"/>
    <x v="0"/>
    <n v="300"/>
    <n v="5"/>
    <s v="Medium Value"/>
    <x v="0"/>
    <n v="16"/>
    <s v="Medium Spender"/>
    <x v="1"/>
    <s v="Medium Value | Medium Spender | Regular"/>
  </r>
  <r>
    <n v="101"/>
    <n v="39"/>
    <x v="3"/>
    <n v="57000"/>
    <x v="0"/>
    <n v="440"/>
    <n v="7"/>
    <s v="Medium Value"/>
    <x v="1"/>
    <n v="21"/>
    <s v="High Spender"/>
    <x v="1"/>
    <s v="Medium Value | High Spender | Regular"/>
  </r>
  <r>
    <n v="102"/>
    <n v="37"/>
    <x v="3"/>
    <n v="58000"/>
    <x v="0"/>
    <n v="420"/>
    <n v="6.8"/>
    <s v="Medium Value"/>
    <x v="2"/>
    <n v="20"/>
    <s v="High Spender"/>
    <x v="1"/>
    <s v="Medium Value | High Spender | Regular"/>
  </r>
  <r>
    <n v="103"/>
    <n v="46"/>
    <x v="1"/>
    <n v="66000"/>
    <x v="1"/>
    <n v="510"/>
    <n v="8.1"/>
    <s v="High Value"/>
    <x v="0"/>
    <n v="22"/>
    <s v="High Spender"/>
    <x v="2"/>
    <s v="High Value | High Spender | Loyal"/>
  </r>
  <r>
    <n v="104"/>
    <n v="33"/>
    <x v="0"/>
    <n v="53000"/>
    <x v="0"/>
    <n v="380"/>
    <n v="6"/>
    <s v="Medium Value"/>
    <x v="1"/>
    <n v="18"/>
    <s v="Medium Spender"/>
    <x v="1"/>
    <s v="Medium Value | Medium Spender | Regular"/>
  </r>
  <r>
    <n v="105"/>
    <n v="52"/>
    <x v="1"/>
    <n v="72000"/>
    <x v="1"/>
    <n v="610"/>
    <n v="9.1999999999999993"/>
    <s v="High Value"/>
    <x v="2"/>
    <n v="26"/>
    <s v="High Spender"/>
    <x v="2"/>
    <s v="High Value | High Spender | Loyal"/>
  </r>
  <r>
    <n v="106"/>
    <n v="28"/>
    <x v="0"/>
    <n v="46000"/>
    <x v="0"/>
    <n v="250"/>
    <n v="4.2"/>
    <s v="Low Value"/>
    <x v="0"/>
    <n v="14"/>
    <s v="Medium Spender"/>
    <x v="0"/>
    <s v="Low Value | Medium Spender | At Risk"/>
  </r>
  <r>
    <n v="107"/>
    <n v="41"/>
    <x v="3"/>
    <n v="61000"/>
    <x v="1"/>
    <n v="480"/>
    <n v="7.8"/>
    <s v="Medium Value"/>
    <x v="1"/>
    <n v="21"/>
    <s v="High Spender"/>
    <x v="1"/>
    <s v="Medium Value | High Spender | Regular"/>
  </r>
  <r>
    <n v="108"/>
    <n v="50"/>
    <x v="1"/>
    <n v="70000"/>
    <x v="1"/>
    <n v="600"/>
    <n v="9"/>
    <s v="High Value"/>
    <x v="2"/>
    <n v="25"/>
    <s v="High Spender"/>
    <x v="2"/>
    <s v="High Value | High Spender | Loyal"/>
  </r>
  <r>
    <n v="109"/>
    <n v="36"/>
    <x v="3"/>
    <n v="54000"/>
    <x v="0"/>
    <n v="400"/>
    <n v="6.5"/>
    <s v="Medium Value"/>
    <x v="0"/>
    <n v="19"/>
    <s v="High Spender"/>
    <x v="1"/>
    <s v="Medium Value | High Spender | Regular"/>
  </r>
  <r>
    <n v="110"/>
    <n v="24"/>
    <x v="2"/>
    <n v="32000"/>
    <x v="2"/>
    <n v="170"/>
    <n v="3.3"/>
    <s v="Low Value"/>
    <x v="1"/>
    <n v="11"/>
    <s v="Low Spender"/>
    <x v="0"/>
    <s v="Low Value | Low Spender | At Risk"/>
  </r>
  <r>
    <n v="111"/>
    <n v="49"/>
    <x v="1"/>
    <n v="69000"/>
    <x v="1"/>
    <n v="590"/>
    <n v="8.9"/>
    <s v="High Value"/>
    <x v="2"/>
    <n v="24"/>
    <s v="High Spender"/>
    <x v="2"/>
    <s v="High Value | High Spender | Loyal"/>
  </r>
  <r>
    <n v="112"/>
    <n v="26"/>
    <x v="0"/>
    <n v="44000"/>
    <x v="0"/>
    <n v="240"/>
    <n v="4.3"/>
    <s v="Low Value"/>
    <x v="0"/>
    <n v="14"/>
    <s v="Low Spender"/>
    <x v="0"/>
    <s v="Low Value | Low Spender | At Risk"/>
  </r>
  <r>
    <n v="113"/>
    <n v="45"/>
    <x v="1"/>
    <n v="65000"/>
    <x v="1"/>
    <n v="500"/>
    <n v="8"/>
    <s v="High Value"/>
    <x v="1"/>
    <n v="22"/>
    <s v="High Spender"/>
    <x v="2"/>
    <s v="High Value | High Spender | Loyal"/>
  </r>
  <r>
    <n v="114"/>
    <n v="40"/>
    <x v="3"/>
    <n v="60000"/>
    <x v="1"/>
    <n v="450"/>
    <n v="7.2"/>
    <s v="Medium Value"/>
    <x v="2"/>
    <n v="20"/>
    <s v="High Spender"/>
    <x v="1"/>
    <s v="Medium Value | High Spender | Regular"/>
  </r>
  <r>
    <n v="115"/>
    <n v="38"/>
    <x v="3"/>
    <n v="59000"/>
    <x v="0"/>
    <n v="430"/>
    <n v="6.9"/>
    <s v="Medium Value"/>
    <x v="0"/>
    <n v="20"/>
    <s v="High Spender"/>
    <x v="1"/>
    <s v="Medium Value | High Spender | Regular"/>
  </r>
  <r>
    <n v="116"/>
    <n v="54"/>
    <x v="1"/>
    <n v="74000"/>
    <x v="1"/>
    <n v="630"/>
    <n v="9.4"/>
    <s v="High Value"/>
    <x v="1"/>
    <n v="27"/>
    <s v="High Spender"/>
    <x v="2"/>
    <s v="High Value | High Spender | Loyal"/>
  </r>
  <r>
    <n v="117"/>
    <n v="32"/>
    <x v="0"/>
    <n v="52000"/>
    <x v="0"/>
    <n v="360"/>
    <n v="5.8"/>
    <s v="Medium Value"/>
    <x v="2"/>
    <n v="18"/>
    <s v="Medium Spender"/>
    <x v="1"/>
    <s v="Medium Value | Medium Spender | Regular"/>
  </r>
  <r>
    <n v="118"/>
    <n v="31"/>
    <x v="0"/>
    <n v="51000"/>
    <x v="0"/>
    <n v="340"/>
    <n v="5.6"/>
    <s v="Medium Value"/>
    <x v="0"/>
    <n v="17"/>
    <s v="Medium Spender"/>
    <x v="1"/>
    <s v="Medium Value | Medium Spender | Regular"/>
  </r>
  <r>
    <n v="119"/>
    <n v="42"/>
    <x v="3"/>
    <n v="62000"/>
    <x v="1"/>
    <n v="520"/>
    <n v="8.1999999999999993"/>
    <s v="High Value"/>
    <x v="1"/>
    <n v="23"/>
    <s v="High Spender"/>
    <x v="2"/>
    <s v="High Value | High Spender | Loyal"/>
  </r>
  <r>
    <n v="120"/>
    <n v="55"/>
    <x v="1"/>
    <n v="75000"/>
    <x v="1"/>
    <n v="640"/>
    <n v="9.5"/>
    <s v="High Value"/>
    <x v="2"/>
    <n v="28"/>
    <s v="High Spender"/>
    <x v="2"/>
    <s v="High Value | High Spender | Loyal"/>
  </r>
  <r>
    <n v="121"/>
    <n v="29"/>
    <x v="0"/>
    <n v="46000"/>
    <x v="0"/>
    <n v="270"/>
    <n v="4.3"/>
    <s v="Low Value"/>
    <x v="0"/>
    <n v="15"/>
    <s v="Medium Spender"/>
    <x v="0"/>
    <s v="Low Value | Medium Spender | At Risk"/>
  </r>
  <r>
    <n v="122"/>
    <n v="33"/>
    <x v="0"/>
    <n v="53000"/>
    <x v="0"/>
    <n v="380"/>
    <n v="6"/>
    <s v="Medium Value"/>
    <x v="1"/>
    <n v="18"/>
    <s v="Medium Spender"/>
    <x v="1"/>
    <s v="Medium Value | Medium Spender | Regular"/>
  </r>
  <r>
    <n v="123"/>
    <n v="51"/>
    <x v="1"/>
    <n v="71000"/>
    <x v="1"/>
    <n v="600"/>
    <n v="9"/>
    <s v="High Value"/>
    <x v="2"/>
    <n v="25"/>
    <s v="High Spender"/>
    <x v="2"/>
    <s v="High Value | High Spender | Loyal"/>
  </r>
  <r>
    <n v="124"/>
    <n v="27"/>
    <x v="0"/>
    <n v="43000"/>
    <x v="0"/>
    <n v="230"/>
    <n v="4"/>
    <s v="Low Value"/>
    <x v="0"/>
    <n v="14"/>
    <s v="Low Spender"/>
    <x v="0"/>
    <s v="Low Value | Low Spender | At Risk"/>
  </r>
  <r>
    <n v="125"/>
    <n v="43"/>
    <x v="3"/>
    <n v="63000"/>
    <x v="1"/>
    <n v="470"/>
    <n v="7.8"/>
    <s v="Medium Value"/>
    <x v="1"/>
    <n v="21"/>
    <s v="High Spender"/>
    <x v="1"/>
    <s v="Medium Value | High Spender | Regular"/>
  </r>
  <r>
    <n v="126"/>
    <n v="41"/>
    <x v="3"/>
    <n v="61000"/>
    <x v="1"/>
    <n v="480"/>
    <n v="7.7"/>
    <s v="Medium Value"/>
    <x v="2"/>
    <n v="22"/>
    <s v="High Spender"/>
    <x v="1"/>
    <s v="Medium Value | High Spender | Regular"/>
  </r>
  <r>
    <n v="127"/>
    <n v="50"/>
    <x v="1"/>
    <n v="70000"/>
    <x v="1"/>
    <n v="600"/>
    <n v="9"/>
    <s v="High Value"/>
    <x v="0"/>
    <n v="25"/>
    <s v="High Spender"/>
    <x v="2"/>
    <s v="High Value | High Spender | Loyal"/>
  </r>
  <r>
    <n v="128"/>
    <n v="24"/>
    <x v="2"/>
    <n v="32000"/>
    <x v="2"/>
    <n v="170"/>
    <n v="3.3"/>
    <s v="Low Value"/>
    <x v="1"/>
    <n v="11"/>
    <s v="Low Spender"/>
    <x v="0"/>
    <s v="Low Value | Low Spender | At Risk"/>
  </r>
  <r>
    <n v="129"/>
    <n v="48"/>
    <x v="1"/>
    <n v="68000"/>
    <x v="1"/>
    <n v="550"/>
    <n v="8.5"/>
    <s v="High Value"/>
    <x v="2"/>
    <n v="24"/>
    <s v="High Spender"/>
    <x v="2"/>
    <s v="High Value | High Spender | Loyal"/>
  </r>
  <r>
    <n v="130"/>
    <n v="30"/>
    <x v="0"/>
    <n v="49000"/>
    <x v="0"/>
    <n v="300"/>
    <n v="5"/>
    <s v="Medium Value"/>
    <x v="0"/>
    <n v="16"/>
    <s v="Medium Spender"/>
    <x v="1"/>
    <s v="Medium Value | Medium Spender | Regular"/>
  </r>
  <r>
    <n v="131"/>
    <n v="39"/>
    <x v="3"/>
    <n v="57000"/>
    <x v="0"/>
    <n v="440"/>
    <n v="7"/>
    <s v="Medium Value"/>
    <x v="1"/>
    <n v="21"/>
    <s v="High Spender"/>
    <x v="1"/>
    <s v="Medium Value | High Spender | Regular"/>
  </r>
  <r>
    <n v="132"/>
    <n v="37"/>
    <x v="3"/>
    <n v="58000"/>
    <x v="0"/>
    <n v="420"/>
    <n v="6.8"/>
    <s v="Medium Value"/>
    <x v="2"/>
    <n v="20"/>
    <s v="High Spender"/>
    <x v="1"/>
    <s v="Medium Value | High Spender | Regular"/>
  </r>
  <r>
    <n v="133"/>
    <n v="46"/>
    <x v="1"/>
    <n v="66000"/>
    <x v="1"/>
    <n v="510"/>
    <n v="8.1"/>
    <s v="High Value"/>
    <x v="0"/>
    <n v="22"/>
    <s v="High Spender"/>
    <x v="2"/>
    <s v="High Value | High Spender | Loyal"/>
  </r>
  <r>
    <n v="134"/>
    <n v="33"/>
    <x v="0"/>
    <n v="53000"/>
    <x v="0"/>
    <n v="380"/>
    <n v="6"/>
    <s v="Medium Value"/>
    <x v="1"/>
    <n v="18"/>
    <s v="Medium Spender"/>
    <x v="1"/>
    <s v="Medium Value | Medium Spender | Regular"/>
  </r>
  <r>
    <n v="135"/>
    <n v="52"/>
    <x v="1"/>
    <n v="72000"/>
    <x v="1"/>
    <n v="610"/>
    <n v="9.1999999999999993"/>
    <s v="High Value"/>
    <x v="2"/>
    <n v="26"/>
    <s v="High Spender"/>
    <x v="2"/>
    <s v="High Value | High Spender | Loyal"/>
  </r>
  <r>
    <n v="136"/>
    <n v="28"/>
    <x v="0"/>
    <n v="46000"/>
    <x v="0"/>
    <n v="250"/>
    <n v="4.2"/>
    <s v="Low Value"/>
    <x v="0"/>
    <n v="14"/>
    <s v="Medium Spender"/>
    <x v="0"/>
    <s v="Low Value | Medium Spender | At Risk"/>
  </r>
  <r>
    <n v="137"/>
    <n v="41"/>
    <x v="3"/>
    <n v="61000"/>
    <x v="1"/>
    <n v="480"/>
    <n v="7.8"/>
    <s v="Medium Value"/>
    <x v="1"/>
    <n v="21"/>
    <s v="High Spender"/>
    <x v="1"/>
    <s v="Medium Value | High Spender | Regular"/>
  </r>
  <r>
    <n v="138"/>
    <n v="50"/>
    <x v="1"/>
    <n v="70000"/>
    <x v="1"/>
    <n v="600"/>
    <n v="9"/>
    <s v="High Value"/>
    <x v="2"/>
    <n v="25"/>
    <s v="High Spender"/>
    <x v="2"/>
    <s v="High Value | High Spender | Loyal"/>
  </r>
  <r>
    <n v="139"/>
    <n v="36"/>
    <x v="3"/>
    <n v="54000"/>
    <x v="0"/>
    <n v="400"/>
    <n v="6.5"/>
    <s v="Medium Value"/>
    <x v="0"/>
    <n v="19"/>
    <s v="High Spender"/>
    <x v="1"/>
    <s v="Medium Value | High Spender | Regular"/>
  </r>
  <r>
    <n v="140"/>
    <n v="24"/>
    <x v="2"/>
    <n v="32000"/>
    <x v="2"/>
    <n v="170"/>
    <n v="3.3"/>
    <s v="Low Value"/>
    <x v="1"/>
    <n v="11"/>
    <s v="Low Spender"/>
    <x v="0"/>
    <s v="Low Value | Low Spender | At Risk"/>
  </r>
  <r>
    <n v="141"/>
    <n v="49"/>
    <x v="1"/>
    <n v="69000"/>
    <x v="1"/>
    <n v="590"/>
    <n v="8.9"/>
    <s v="High Value"/>
    <x v="2"/>
    <n v="24"/>
    <s v="High Spender"/>
    <x v="2"/>
    <s v="High Value | High Spender | Loyal"/>
  </r>
  <r>
    <n v="142"/>
    <n v="26"/>
    <x v="0"/>
    <n v="44000"/>
    <x v="0"/>
    <n v="240"/>
    <n v="4.3"/>
    <s v="Low Value"/>
    <x v="0"/>
    <n v="14"/>
    <s v="Low Spender"/>
    <x v="0"/>
    <s v="Low Value | Low Spender | At Risk"/>
  </r>
  <r>
    <n v="143"/>
    <n v="45"/>
    <x v="1"/>
    <n v="65000"/>
    <x v="1"/>
    <n v="500"/>
    <n v="8"/>
    <s v="High Value"/>
    <x v="1"/>
    <n v="22"/>
    <s v="High Spender"/>
    <x v="2"/>
    <s v="High Value | High Spender | Loyal"/>
  </r>
  <r>
    <n v="144"/>
    <n v="40"/>
    <x v="3"/>
    <n v="60000"/>
    <x v="1"/>
    <n v="450"/>
    <n v="7.2"/>
    <s v="Medium Value"/>
    <x v="2"/>
    <n v="20"/>
    <s v="High Spender"/>
    <x v="1"/>
    <s v="Medium Value | High Spender | Regular"/>
  </r>
  <r>
    <n v="145"/>
    <n v="38"/>
    <x v="3"/>
    <n v="59000"/>
    <x v="0"/>
    <n v="430"/>
    <n v="6.9"/>
    <s v="Medium Value"/>
    <x v="0"/>
    <n v="20"/>
    <s v="High Spender"/>
    <x v="1"/>
    <s v="Medium Value | High Spender | Regular"/>
  </r>
  <r>
    <n v="146"/>
    <n v="54"/>
    <x v="1"/>
    <n v="74000"/>
    <x v="1"/>
    <n v="630"/>
    <n v="9.4"/>
    <s v="High Value"/>
    <x v="1"/>
    <n v="27"/>
    <s v="High Spender"/>
    <x v="2"/>
    <s v="High Value | High Spender | Loyal"/>
  </r>
  <r>
    <n v="147"/>
    <n v="32"/>
    <x v="0"/>
    <n v="52000"/>
    <x v="0"/>
    <n v="360"/>
    <n v="5.8"/>
    <s v="Medium Value"/>
    <x v="2"/>
    <n v="18"/>
    <s v="Medium Spender"/>
    <x v="1"/>
    <s v="Medium Value | Medium Spender | Regular"/>
  </r>
  <r>
    <n v="148"/>
    <n v="31"/>
    <x v="0"/>
    <n v="51000"/>
    <x v="0"/>
    <n v="340"/>
    <n v="5.6"/>
    <s v="Medium Value"/>
    <x v="0"/>
    <n v="17"/>
    <s v="Medium Spender"/>
    <x v="1"/>
    <s v="Medium Value | Medium Spender | Regular"/>
  </r>
  <r>
    <n v="149"/>
    <n v="42"/>
    <x v="3"/>
    <n v="62000"/>
    <x v="1"/>
    <n v="520"/>
    <n v="8.1999999999999993"/>
    <s v="High Value"/>
    <x v="1"/>
    <n v="23"/>
    <s v="High Spender"/>
    <x v="2"/>
    <s v="High Value | High Spender | Loyal"/>
  </r>
  <r>
    <n v="150"/>
    <n v="55"/>
    <x v="1"/>
    <n v="75000"/>
    <x v="1"/>
    <n v="640"/>
    <n v="9.5"/>
    <s v="High Value"/>
    <x v="2"/>
    <n v="28"/>
    <s v="High Spender"/>
    <x v="2"/>
    <s v="High Value | High Spender | Loyal"/>
  </r>
  <r>
    <n v="151"/>
    <n v="29"/>
    <x v="0"/>
    <n v="46000"/>
    <x v="0"/>
    <n v="270"/>
    <n v="4.3"/>
    <s v="Low Value"/>
    <x v="0"/>
    <n v="15"/>
    <s v="Medium Spender"/>
    <x v="0"/>
    <s v="Low Value | Medium Spender | At Risk"/>
  </r>
  <r>
    <n v="152"/>
    <n v="33"/>
    <x v="0"/>
    <n v="53000"/>
    <x v="0"/>
    <n v="380"/>
    <n v="6"/>
    <s v="Medium Value"/>
    <x v="1"/>
    <n v="18"/>
    <s v="Medium Spender"/>
    <x v="1"/>
    <s v="Medium Value | Medium Spender | Regular"/>
  </r>
  <r>
    <n v="153"/>
    <n v="51"/>
    <x v="1"/>
    <n v="71000"/>
    <x v="1"/>
    <n v="600"/>
    <n v="9"/>
    <s v="High Value"/>
    <x v="2"/>
    <n v="25"/>
    <s v="High Spender"/>
    <x v="2"/>
    <s v="High Value | High Spender | Loyal"/>
  </r>
  <r>
    <n v="154"/>
    <n v="27"/>
    <x v="0"/>
    <n v="43000"/>
    <x v="0"/>
    <n v="230"/>
    <n v="4"/>
    <s v="Low Value"/>
    <x v="0"/>
    <n v="14"/>
    <s v="Low Spender"/>
    <x v="0"/>
    <s v="Low Value | Low Spender | At Risk"/>
  </r>
  <r>
    <n v="155"/>
    <n v="43"/>
    <x v="3"/>
    <n v="63000"/>
    <x v="1"/>
    <n v="470"/>
    <n v="7.8"/>
    <s v="Medium Value"/>
    <x v="1"/>
    <n v="21"/>
    <s v="High Spender"/>
    <x v="1"/>
    <s v="Medium Value | High Spender | Regular"/>
  </r>
  <r>
    <n v="156"/>
    <n v="41"/>
    <x v="3"/>
    <n v="61000"/>
    <x v="1"/>
    <n v="480"/>
    <n v="7.7"/>
    <s v="Medium Value"/>
    <x v="2"/>
    <n v="22"/>
    <s v="High Spender"/>
    <x v="1"/>
    <s v="Medium Value | High Spender | Regular"/>
  </r>
  <r>
    <n v="157"/>
    <n v="50"/>
    <x v="1"/>
    <n v="70000"/>
    <x v="1"/>
    <n v="600"/>
    <n v="9"/>
    <s v="High Value"/>
    <x v="0"/>
    <n v="25"/>
    <s v="High Spender"/>
    <x v="2"/>
    <s v="High Value | High Spender | Loyal"/>
  </r>
  <r>
    <n v="158"/>
    <n v="24"/>
    <x v="2"/>
    <n v="32000"/>
    <x v="2"/>
    <n v="170"/>
    <n v="3.3"/>
    <s v="Low Value"/>
    <x v="1"/>
    <n v="11"/>
    <s v="Low Spender"/>
    <x v="0"/>
    <s v="Low Value | Low Spender | At Risk"/>
  </r>
  <r>
    <n v="159"/>
    <n v="48"/>
    <x v="1"/>
    <n v="68000"/>
    <x v="1"/>
    <n v="550"/>
    <n v="8.5"/>
    <s v="High Value"/>
    <x v="2"/>
    <n v="24"/>
    <s v="High Spender"/>
    <x v="2"/>
    <s v="High Value | High Spender | Loyal"/>
  </r>
  <r>
    <n v="160"/>
    <n v="30"/>
    <x v="0"/>
    <n v="49000"/>
    <x v="0"/>
    <n v="300"/>
    <n v="5"/>
    <s v="Medium Value"/>
    <x v="0"/>
    <n v="16"/>
    <s v="Medium Spender"/>
    <x v="1"/>
    <s v="Medium Value | Medium Spender | Regular"/>
  </r>
  <r>
    <n v="161"/>
    <n v="39"/>
    <x v="3"/>
    <n v="57000"/>
    <x v="0"/>
    <n v="440"/>
    <n v="7"/>
    <s v="Medium Value"/>
    <x v="1"/>
    <n v="21"/>
    <s v="High Spender"/>
    <x v="1"/>
    <s v="Medium Value | High Spender | Regular"/>
  </r>
  <r>
    <n v="162"/>
    <n v="37"/>
    <x v="3"/>
    <n v="58000"/>
    <x v="0"/>
    <n v="420"/>
    <n v="6.8"/>
    <s v="Medium Value"/>
    <x v="2"/>
    <n v="20"/>
    <s v="High Spender"/>
    <x v="1"/>
    <s v="Medium Value | High Spender | Regular"/>
  </r>
  <r>
    <n v="163"/>
    <n v="46"/>
    <x v="1"/>
    <n v="66000"/>
    <x v="1"/>
    <n v="510"/>
    <n v="8.1"/>
    <s v="High Value"/>
    <x v="0"/>
    <n v="22"/>
    <s v="High Spender"/>
    <x v="2"/>
    <s v="High Value | High Spender | Loyal"/>
  </r>
  <r>
    <n v="164"/>
    <n v="33"/>
    <x v="0"/>
    <n v="53000"/>
    <x v="0"/>
    <n v="380"/>
    <n v="6"/>
    <s v="Medium Value"/>
    <x v="1"/>
    <n v="18"/>
    <s v="Medium Spender"/>
    <x v="1"/>
    <s v="Medium Value | Medium Spender | Regular"/>
  </r>
  <r>
    <n v="165"/>
    <n v="52"/>
    <x v="1"/>
    <n v="72000"/>
    <x v="1"/>
    <n v="610"/>
    <n v="9.1999999999999993"/>
    <s v="High Value"/>
    <x v="2"/>
    <n v="26"/>
    <s v="High Spender"/>
    <x v="2"/>
    <s v="High Value | High Spender | Loyal"/>
  </r>
  <r>
    <n v="166"/>
    <n v="28"/>
    <x v="0"/>
    <n v="46000"/>
    <x v="0"/>
    <n v="250"/>
    <n v="4.2"/>
    <s v="Low Value"/>
    <x v="0"/>
    <n v="14"/>
    <s v="Medium Spender"/>
    <x v="0"/>
    <s v="Low Value | Medium Spender | At Risk"/>
  </r>
  <r>
    <n v="167"/>
    <n v="41"/>
    <x v="3"/>
    <n v="61000"/>
    <x v="1"/>
    <n v="480"/>
    <n v="7.8"/>
    <s v="Medium Value"/>
    <x v="1"/>
    <n v="21"/>
    <s v="High Spender"/>
    <x v="1"/>
    <s v="Medium Value | High Spender | Regular"/>
  </r>
  <r>
    <n v="168"/>
    <n v="50"/>
    <x v="1"/>
    <n v="70000"/>
    <x v="1"/>
    <n v="600"/>
    <n v="9"/>
    <s v="High Value"/>
    <x v="2"/>
    <n v="25"/>
    <s v="High Spender"/>
    <x v="2"/>
    <s v="High Value | High Spender | Loyal"/>
  </r>
  <r>
    <n v="169"/>
    <n v="36"/>
    <x v="3"/>
    <n v="54000"/>
    <x v="0"/>
    <n v="400"/>
    <n v="6.5"/>
    <s v="Medium Value"/>
    <x v="0"/>
    <n v="19"/>
    <s v="High Spender"/>
    <x v="1"/>
    <s v="Medium Value | High Spender | Regular"/>
  </r>
  <r>
    <n v="170"/>
    <n v="24"/>
    <x v="2"/>
    <n v="32000"/>
    <x v="2"/>
    <n v="170"/>
    <n v="3.3"/>
    <s v="Low Value"/>
    <x v="1"/>
    <n v="11"/>
    <s v="Low Spender"/>
    <x v="0"/>
    <s v="Low Value | Low Spender | At Risk"/>
  </r>
  <r>
    <n v="171"/>
    <n v="49"/>
    <x v="1"/>
    <n v="69000"/>
    <x v="1"/>
    <n v="590"/>
    <n v="8.9"/>
    <s v="High Value"/>
    <x v="2"/>
    <n v="24"/>
    <s v="High Spender"/>
    <x v="2"/>
    <s v="High Value | High Spender | Loyal"/>
  </r>
  <r>
    <n v="172"/>
    <n v="26"/>
    <x v="0"/>
    <n v="44000"/>
    <x v="0"/>
    <n v="240"/>
    <n v="4.3"/>
    <s v="Low Value"/>
    <x v="0"/>
    <n v="14"/>
    <s v="Low Spender"/>
    <x v="0"/>
    <s v="Low Value | Low Spender | At Risk"/>
  </r>
  <r>
    <n v="173"/>
    <n v="45"/>
    <x v="1"/>
    <n v="65000"/>
    <x v="1"/>
    <n v="500"/>
    <n v="8"/>
    <s v="High Value"/>
    <x v="1"/>
    <n v="22"/>
    <s v="High Spender"/>
    <x v="2"/>
    <s v="High Value | High Spender | Loyal"/>
  </r>
  <r>
    <n v="174"/>
    <n v="40"/>
    <x v="3"/>
    <n v="60000"/>
    <x v="1"/>
    <n v="450"/>
    <n v="7.2"/>
    <s v="Medium Value"/>
    <x v="2"/>
    <n v="20"/>
    <s v="High Spender"/>
    <x v="1"/>
    <s v="Medium Value | High Spender | Regular"/>
  </r>
  <r>
    <n v="175"/>
    <n v="38"/>
    <x v="3"/>
    <n v="59000"/>
    <x v="0"/>
    <n v="430"/>
    <n v="6.9"/>
    <s v="Medium Value"/>
    <x v="0"/>
    <n v="20"/>
    <s v="High Spender"/>
    <x v="1"/>
    <s v="Medium Value | High Spender | Regular"/>
  </r>
  <r>
    <n v="176"/>
    <n v="54"/>
    <x v="1"/>
    <n v="74000"/>
    <x v="1"/>
    <n v="630"/>
    <n v="9.4"/>
    <s v="High Value"/>
    <x v="1"/>
    <n v="27"/>
    <s v="High Spender"/>
    <x v="2"/>
    <s v="High Value | High Spender | Loyal"/>
  </r>
  <r>
    <n v="177"/>
    <n v="32"/>
    <x v="0"/>
    <n v="52000"/>
    <x v="0"/>
    <n v="360"/>
    <n v="5.8"/>
    <s v="Medium Value"/>
    <x v="2"/>
    <n v="18"/>
    <s v="Medium Spender"/>
    <x v="1"/>
    <s v="Medium Value | Medium Spender | Regular"/>
  </r>
  <r>
    <n v="178"/>
    <n v="31"/>
    <x v="0"/>
    <n v="51000"/>
    <x v="0"/>
    <n v="340"/>
    <n v="5.6"/>
    <s v="Medium Value"/>
    <x v="0"/>
    <n v="17"/>
    <s v="Medium Spender"/>
    <x v="1"/>
    <s v="Medium Value | Medium Spender | Regular"/>
  </r>
  <r>
    <n v="179"/>
    <n v="42"/>
    <x v="3"/>
    <n v="62000"/>
    <x v="1"/>
    <n v="520"/>
    <n v="8.1999999999999993"/>
    <s v="High Value"/>
    <x v="1"/>
    <n v="23"/>
    <s v="High Spender"/>
    <x v="2"/>
    <s v="High Value | High Spender | Loyal"/>
  </r>
  <r>
    <n v="180"/>
    <n v="55"/>
    <x v="1"/>
    <n v="75000"/>
    <x v="1"/>
    <n v="640"/>
    <n v="9.5"/>
    <s v="High Value"/>
    <x v="2"/>
    <n v="28"/>
    <s v="High Spender"/>
    <x v="2"/>
    <s v="High Value | High Spender | Loyal"/>
  </r>
  <r>
    <n v="181"/>
    <n v="29"/>
    <x v="0"/>
    <n v="46000"/>
    <x v="0"/>
    <n v="270"/>
    <n v="4.3"/>
    <s v="Low Value"/>
    <x v="0"/>
    <n v="15"/>
    <s v="Medium Spender"/>
    <x v="0"/>
    <s v="Low Value | Medium Spender | At Risk"/>
  </r>
  <r>
    <n v="182"/>
    <n v="33"/>
    <x v="0"/>
    <n v="53000"/>
    <x v="0"/>
    <n v="380"/>
    <n v="6"/>
    <s v="Medium Value"/>
    <x v="1"/>
    <n v="18"/>
    <s v="Medium Spender"/>
    <x v="1"/>
    <s v="Medium Value | Medium Spender | Regular"/>
  </r>
  <r>
    <n v="183"/>
    <n v="51"/>
    <x v="1"/>
    <n v="71000"/>
    <x v="1"/>
    <n v="600"/>
    <n v="9"/>
    <s v="High Value"/>
    <x v="2"/>
    <n v="25"/>
    <s v="High Spender"/>
    <x v="2"/>
    <s v="High Value | High Spender | Loyal"/>
  </r>
  <r>
    <n v="184"/>
    <n v="27"/>
    <x v="0"/>
    <n v="43000"/>
    <x v="0"/>
    <n v="230"/>
    <n v="4"/>
    <s v="Low Value"/>
    <x v="0"/>
    <n v="14"/>
    <s v="Low Spender"/>
    <x v="0"/>
    <s v="Low Value | Low Spender | At Risk"/>
  </r>
  <r>
    <n v="185"/>
    <n v="43"/>
    <x v="3"/>
    <n v="63000"/>
    <x v="1"/>
    <n v="470"/>
    <n v="7.8"/>
    <s v="Medium Value"/>
    <x v="1"/>
    <n v="21"/>
    <s v="High Spender"/>
    <x v="1"/>
    <s v="Medium Value | High Spender | Regular"/>
  </r>
  <r>
    <n v="186"/>
    <n v="41"/>
    <x v="3"/>
    <n v="61000"/>
    <x v="1"/>
    <n v="480"/>
    <n v="7.7"/>
    <s v="Medium Value"/>
    <x v="2"/>
    <n v="22"/>
    <s v="High Spender"/>
    <x v="1"/>
    <s v="Medium Value | High Spender | Regular"/>
  </r>
  <r>
    <n v="187"/>
    <n v="50"/>
    <x v="1"/>
    <n v="70000"/>
    <x v="1"/>
    <n v="600"/>
    <n v="9"/>
    <s v="High Value"/>
    <x v="0"/>
    <n v="25"/>
    <s v="High Spender"/>
    <x v="2"/>
    <s v="High Value | High Spender | Loyal"/>
  </r>
  <r>
    <n v="188"/>
    <n v="24"/>
    <x v="2"/>
    <n v="32000"/>
    <x v="2"/>
    <n v="170"/>
    <n v="3.3"/>
    <s v="Low Value"/>
    <x v="1"/>
    <n v="11"/>
    <s v="Low Spender"/>
    <x v="0"/>
    <s v="Low Value | Low Spender | At Risk"/>
  </r>
  <r>
    <n v="189"/>
    <n v="48"/>
    <x v="1"/>
    <n v="68000"/>
    <x v="1"/>
    <n v="550"/>
    <n v="8.5"/>
    <s v="High Value"/>
    <x v="2"/>
    <n v="24"/>
    <s v="High Spender"/>
    <x v="2"/>
    <s v="High Value | High Spender | Loyal"/>
  </r>
  <r>
    <n v="190"/>
    <n v="30"/>
    <x v="0"/>
    <n v="49000"/>
    <x v="0"/>
    <n v="300"/>
    <n v="5"/>
    <s v="Medium Value"/>
    <x v="0"/>
    <n v="16"/>
    <s v="Medium Spender"/>
    <x v="1"/>
    <s v="Medium Value | Medium Spender | Regular"/>
  </r>
  <r>
    <n v="191"/>
    <n v="39"/>
    <x v="3"/>
    <n v="57000"/>
    <x v="0"/>
    <n v="440"/>
    <n v="7"/>
    <s v="Medium Value"/>
    <x v="1"/>
    <n v="21"/>
    <s v="High Spender"/>
    <x v="1"/>
    <s v="Medium Value | High Spender | Regular"/>
  </r>
  <r>
    <n v="192"/>
    <n v="37"/>
    <x v="3"/>
    <n v="58000"/>
    <x v="0"/>
    <n v="420"/>
    <n v="6.8"/>
    <s v="Medium Value"/>
    <x v="2"/>
    <n v="20"/>
    <s v="High Spender"/>
    <x v="1"/>
    <s v="Medium Value | High Spender | Regular"/>
  </r>
  <r>
    <n v="193"/>
    <n v="46"/>
    <x v="1"/>
    <n v="66000"/>
    <x v="1"/>
    <n v="510"/>
    <n v="8.1"/>
    <s v="High Value"/>
    <x v="0"/>
    <n v="22"/>
    <s v="High Spender"/>
    <x v="2"/>
    <s v="High Value | High Spender | Loyal"/>
  </r>
  <r>
    <n v="194"/>
    <n v="33"/>
    <x v="0"/>
    <n v="53000"/>
    <x v="0"/>
    <n v="380"/>
    <n v="6"/>
    <s v="Medium Value"/>
    <x v="1"/>
    <n v="18"/>
    <s v="Medium Spender"/>
    <x v="1"/>
    <s v="Medium Value | Medium Spender | Regular"/>
  </r>
  <r>
    <n v="195"/>
    <n v="52"/>
    <x v="1"/>
    <n v="72000"/>
    <x v="1"/>
    <n v="610"/>
    <n v="9.1999999999999993"/>
    <s v="High Value"/>
    <x v="2"/>
    <n v="26"/>
    <s v="High Spender"/>
    <x v="2"/>
    <s v="High Value | High Spender | Loyal"/>
  </r>
  <r>
    <n v="196"/>
    <n v="28"/>
    <x v="0"/>
    <n v="46000"/>
    <x v="0"/>
    <n v="250"/>
    <n v="4.2"/>
    <s v="Low Value"/>
    <x v="0"/>
    <n v="14"/>
    <s v="Medium Spender"/>
    <x v="0"/>
    <s v="Low Value | Medium Spender | At Risk"/>
  </r>
  <r>
    <n v="197"/>
    <n v="41"/>
    <x v="3"/>
    <n v="61000"/>
    <x v="1"/>
    <n v="480"/>
    <n v="7.8"/>
    <s v="Medium Value"/>
    <x v="1"/>
    <n v="21"/>
    <s v="High Spender"/>
    <x v="1"/>
    <s v="Medium Value | High Spender | Regular"/>
  </r>
  <r>
    <n v="198"/>
    <n v="50"/>
    <x v="1"/>
    <n v="70000"/>
    <x v="1"/>
    <n v="600"/>
    <n v="9"/>
    <s v="High Value"/>
    <x v="2"/>
    <n v="25"/>
    <s v="High Spender"/>
    <x v="2"/>
    <s v="High Value | High Spender | Loyal"/>
  </r>
  <r>
    <n v="199"/>
    <n v="36"/>
    <x v="3"/>
    <n v="54000"/>
    <x v="0"/>
    <n v="400"/>
    <n v="6.5"/>
    <s v="Medium Value"/>
    <x v="0"/>
    <n v="19"/>
    <s v="High Spender"/>
    <x v="1"/>
    <s v="Medium Value | High Spender | Regular"/>
  </r>
  <r>
    <n v="200"/>
    <n v="24"/>
    <x v="2"/>
    <n v="32000"/>
    <x v="2"/>
    <n v="170"/>
    <n v="3.3"/>
    <s v="Low Value"/>
    <x v="1"/>
    <n v="11"/>
    <s v="Low Spender"/>
    <x v="0"/>
    <s v="Low Value | Low Spender | At Risk"/>
  </r>
  <r>
    <n v="201"/>
    <n v="49"/>
    <x v="1"/>
    <n v="69000"/>
    <x v="1"/>
    <n v="590"/>
    <n v="8.9"/>
    <s v="High Value"/>
    <x v="2"/>
    <n v="24"/>
    <s v="High Spender"/>
    <x v="2"/>
    <s v="High Value | High Spender | Loyal"/>
  </r>
  <r>
    <n v="202"/>
    <n v="26"/>
    <x v="0"/>
    <n v="44000"/>
    <x v="0"/>
    <n v="240"/>
    <n v="4.3"/>
    <s v="Low Value"/>
    <x v="0"/>
    <n v="14"/>
    <s v="Low Spender"/>
    <x v="0"/>
    <s v="Low Value | Low Spender | At Risk"/>
  </r>
  <r>
    <n v="203"/>
    <n v="45"/>
    <x v="1"/>
    <n v="65000"/>
    <x v="1"/>
    <n v="500"/>
    <n v="8"/>
    <s v="High Value"/>
    <x v="1"/>
    <n v="22"/>
    <s v="High Spender"/>
    <x v="2"/>
    <s v="High Value | High Spender | Loyal"/>
  </r>
  <r>
    <n v="204"/>
    <n v="40"/>
    <x v="3"/>
    <n v="60000"/>
    <x v="1"/>
    <n v="450"/>
    <n v="7.2"/>
    <s v="Medium Value"/>
    <x v="2"/>
    <n v="20"/>
    <s v="High Spender"/>
    <x v="1"/>
    <s v="Medium Value | High Spender | Regular"/>
  </r>
  <r>
    <n v="205"/>
    <n v="38"/>
    <x v="3"/>
    <n v="59000"/>
    <x v="0"/>
    <n v="430"/>
    <n v="6.9"/>
    <s v="Medium Value"/>
    <x v="0"/>
    <n v="20"/>
    <s v="High Spender"/>
    <x v="1"/>
    <s v="Medium Value | High Spender | Regular"/>
  </r>
  <r>
    <n v="206"/>
    <n v="54"/>
    <x v="1"/>
    <n v="74000"/>
    <x v="1"/>
    <n v="630"/>
    <n v="9.4"/>
    <s v="High Value"/>
    <x v="1"/>
    <n v="27"/>
    <s v="High Spender"/>
    <x v="2"/>
    <s v="High Value | High Spender | Loyal"/>
  </r>
  <r>
    <n v="207"/>
    <n v="32"/>
    <x v="0"/>
    <n v="52000"/>
    <x v="0"/>
    <n v="360"/>
    <n v="5.8"/>
    <s v="Medium Value"/>
    <x v="2"/>
    <n v="18"/>
    <s v="Medium Spender"/>
    <x v="1"/>
    <s v="Medium Value | Medium Spender | Regular"/>
  </r>
  <r>
    <n v="208"/>
    <n v="31"/>
    <x v="0"/>
    <n v="51000"/>
    <x v="0"/>
    <n v="340"/>
    <n v="5.6"/>
    <s v="Medium Value"/>
    <x v="0"/>
    <n v="17"/>
    <s v="Medium Spender"/>
    <x v="1"/>
    <s v="Medium Value | Medium Spender | Regular"/>
  </r>
  <r>
    <n v="209"/>
    <n v="42"/>
    <x v="3"/>
    <n v="62000"/>
    <x v="1"/>
    <n v="520"/>
    <n v="8.1999999999999993"/>
    <s v="High Value"/>
    <x v="1"/>
    <n v="23"/>
    <s v="High Spender"/>
    <x v="2"/>
    <s v="High Value | High Spender | Loyal"/>
  </r>
  <r>
    <n v="210"/>
    <n v="55"/>
    <x v="1"/>
    <n v="75000"/>
    <x v="1"/>
    <n v="640"/>
    <n v="9.5"/>
    <s v="High Value"/>
    <x v="2"/>
    <n v="28"/>
    <s v="High Spender"/>
    <x v="2"/>
    <s v="High Value | High Spender | Loyal"/>
  </r>
  <r>
    <n v="211"/>
    <n v="29"/>
    <x v="0"/>
    <n v="46000"/>
    <x v="0"/>
    <n v="270"/>
    <n v="4.3"/>
    <s v="Low Value"/>
    <x v="0"/>
    <n v="15"/>
    <s v="Medium Spender"/>
    <x v="0"/>
    <s v="Low Value | Medium Spender | At Risk"/>
  </r>
  <r>
    <n v="212"/>
    <n v="33"/>
    <x v="0"/>
    <n v="53000"/>
    <x v="0"/>
    <n v="380"/>
    <n v="6"/>
    <s v="Medium Value"/>
    <x v="1"/>
    <n v="18"/>
    <s v="Medium Spender"/>
    <x v="1"/>
    <s v="Medium Value | Medium Spender | Regular"/>
  </r>
  <r>
    <n v="213"/>
    <n v="51"/>
    <x v="1"/>
    <n v="71000"/>
    <x v="1"/>
    <n v="600"/>
    <n v="9"/>
    <s v="High Value"/>
    <x v="2"/>
    <n v="25"/>
    <s v="High Spender"/>
    <x v="2"/>
    <s v="High Value | High Spender | Loyal"/>
  </r>
  <r>
    <n v="214"/>
    <n v="27"/>
    <x v="0"/>
    <n v="43000"/>
    <x v="0"/>
    <n v="230"/>
    <n v="4"/>
    <s v="Low Value"/>
    <x v="0"/>
    <n v="14"/>
    <s v="Low Spender"/>
    <x v="0"/>
    <s v="Low Value | Low Spender | At Risk"/>
  </r>
  <r>
    <n v="215"/>
    <n v="43"/>
    <x v="3"/>
    <n v="63000"/>
    <x v="1"/>
    <n v="470"/>
    <n v="7.8"/>
    <s v="Medium Value"/>
    <x v="1"/>
    <n v="21"/>
    <s v="High Spender"/>
    <x v="1"/>
    <s v="Medium Value | High Spender | Regular"/>
  </r>
  <r>
    <n v="216"/>
    <n v="41"/>
    <x v="3"/>
    <n v="61000"/>
    <x v="1"/>
    <n v="480"/>
    <n v="7.7"/>
    <s v="Medium Value"/>
    <x v="2"/>
    <n v="22"/>
    <s v="High Spender"/>
    <x v="1"/>
    <s v="Medium Value | High Spender | Regular"/>
  </r>
  <r>
    <n v="217"/>
    <n v="50"/>
    <x v="1"/>
    <n v="70000"/>
    <x v="1"/>
    <n v="600"/>
    <n v="9"/>
    <s v="High Value"/>
    <x v="0"/>
    <n v="25"/>
    <s v="High Spender"/>
    <x v="2"/>
    <s v="High Value | High Spender | Loyal"/>
  </r>
  <r>
    <n v="218"/>
    <n v="24"/>
    <x v="2"/>
    <n v="32000"/>
    <x v="2"/>
    <n v="170"/>
    <n v="3.3"/>
    <s v="Low Value"/>
    <x v="1"/>
    <n v="11"/>
    <s v="Low Spender"/>
    <x v="0"/>
    <s v="Low Value | Low Spender | At Risk"/>
  </r>
  <r>
    <n v="219"/>
    <n v="48"/>
    <x v="1"/>
    <n v="68000"/>
    <x v="1"/>
    <n v="550"/>
    <n v="8.5"/>
    <s v="High Value"/>
    <x v="2"/>
    <n v="24"/>
    <s v="High Spender"/>
    <x v="2"/>
    <s v="High Value | High Spender | Loyal"/>
  </r>
  <r>
    <n v="220"/>
    <n v="30"/>
    <x v="0"/>
    <n v="49000"/>
    <x v="0"/>
    <n v="300"/>
    <n v="5"/>
    <s v="Medium Value"/>
    <x v="0"/>
    <n v="16"/>
    <s v="Medium Spender"/>
    <x v="1"/>
    <s v="Medium Value | Medium Spender | Regular"/>
  </r>
  <r>
    <n v="221"/>
    <n v="39"/>
    <x v="3"/>
    <n v="57000"/>
    <x v="0"/>
    <n v="440"/>
    <n v="7"/>
    <s v="Medium Value"/>
    <x v="1"/>
    <n v="21"/>
    <s v="High Spender"/>
    <x v="1"/>
    <s v="Medium Value | High Spender | Regular"/>
  </r>
  <r>
    <n v="222"/>
    <n v="37"/>
    <x v="3"/>
    <n v="58000"/>
    <x v="0"/>
    <n v="420"/>
    <n v="6.8"/>
    <s v="Medium Value"/>
    <x v="2"/>
    <n v="20"/>
    <s v="High Spender"/>
    <x v="1"/>
    <s v="Medium Value | High Spender | Regular"/>
  </r>
  <r>
    <n v="223"/>
    <n v="46"/>
    <x v="1"/>
    <n v="66000"/>
    <x v="1"/>
    <n v="510"/>
    <n v="8.1"/>
    <s v="High Value"/>
    <x v="0"/>
    <n v="22"/>
    <s v="High Spender"/>
    <x v="2"/>
    <s v="High Value | High Spender | Loyal"/>
  </r>
  <r>
    <n v="224"/>
    <n v="33"/>
    <x v="0"/>
    <n v="53000"/>
    <x v="0"/>
    <n v="380"/>
    <n v="6"/>
    <s v="Medium Value"/>
    <x v="1"/>
    <n v="18"/>
    <s v="Medium Spender"/>
    <x v="1"/>
    <s v="Medium Value | Medium Spender | Regular"/>
  </r>
  <r>
    <n v="225"/>
    <n v="52"/>
    <x v="1"/>
    <n v="72000"/>
    <x v="1"/>
    <n v="610"/>
    <n v="9.1999999999999993"/>
    <s v="High Value"/>
    <x v="2"/>
    <n v="26"/>
    <s v="High Spender"/>
    <x v="2"/>
    <s v="High Value | High Spender | Loyal"/>
  </r>
  <r>
    <n v="226"/>
    <n v="28"/>
    <x v="0"/>
    <n v="46000"/>
    <x v="0"/>
    <n v="250"/>
    <n v="4.2"/>
    <s v="Low Value"/>
    <x v="0"/>
    <n v="14"/>
    <s v="Medium Spender"/>
    <x v="0"/>
    <s v="Low Value | Medium Spender | At Risk"/>
  </r>
  <r>
    <n v="227"/>
    <n v="41"/>
    <x v="3"/>
    <n v="61000"/>
    <x v="1"/>
    <n v="480"/>
    <n v="7.8"/>
    <s v="Medium Value"/>
    <x v="1"/>
    <n v="21"/>
    <s v="High Spender"/>
    <x v="1"/>
    <s v="Medium Value | High Spender | Regular"/>
  </r>
  <r>
    <n v="228"/>
    <n v="50"/>
    <x v="1"/>
    <n v="70000"/>
    <x v="1"/>
    <n v="600"/>
    <n v="9"/>
    <s v="High Value"/>
    <x v="2"/>
    <n v="25"/>
    <s v="High Spender"/>
    <x v="2"/>
    <s v="High Value | High Spender | Loyal"/>
  </r>
  <r>
    <n v="229"/>
    <n v="36"/>
    <x v="3"/>
    <n v="54000"/>
    <x v="0"/>
    <n v="400"/>
    <n v="6.5"/>
    <s v="Medium Value"/>
    <x v="0"/>
    <n v="19"/>
    <s v="High Spender"/>
    <x v="1"/>
    <s v="Medium Value | High Spender | Regular"/>
  </r>
  <r>
    <n v="230"/>
    <n v="24"/>
    <x v="2"/>
    <n v="32000"/>
    <x v="2"/>
    <n v="170"/>
    <n v="3.3"/>
    <s v="Low Value"/>
    <x v="1"/>
    <n v="11"/>
    <s v="Low Spender"/>
    <x v="0"/>
    <s v="Low Value | Low Spender | At Risk"/>
  </r>
  <r>
    <n v="231"/>
    <n v="49"/>
    <x v="1"/>
    <n v="69000"/>
    <x v="1"/>
    <n v="590"/>
    <n v="8.9"/>
    <s v="High Value"/>
    <x v="2"/>
    <n v="24"/>
    <s v="High Spender"/>
    <x v="2"/>
    <s v="High Value | High Spender | Loyal"/>
  </r>
  <r>
    <n v="232"/>
    <n v="26"/>
    <x v="0"/>
    <n v="44000"/>
    <x v="0"/>
    <n v="240"/>
    <n v="4.3"/>
    <s v="Low Value"/>
    <x v="0"/>
    <n v="14"/>
    <s v="Low Spender"/>
    <x v="0"/>
    <s v="Low Value | Low Spender | At Risk"/>
  </r>
  <r>
    <n v="233"/>
    <n v="45"/>
    <x v="1"/>
    <n v="65000"/>
    <x v="1"/>
    <n v="500"/>
    <n v="8"/>
    <s v="High Value"/>
    <x v="1"/>
    <n v="22"/>
    <s v="High Spender"/>
    <x v="2"/>
    <s v="High Value | High Spender | Loyal"/>
  </r>
  <r>
    <n v="234"/>
    <n v="40"/>
    <x v="3"/>
    <n v="60000"/>
    <x v="1"/>
    <n v="450"/>
    <n v="7.2"/>
    <s v="Medium Value"/>
    <x v="2"/>
    <n v="20"/>
    <s v="High Spender"/>
    <x v="1"/>
    <s v="Medium Value | High Spender | Regular"/>
  </r>
  <r>
    <n v="235"/>
    <n v="38"/>
    <x v="3"/>
    <n v="59000"/>
    <x v="0"/>
    <n v="430"/>
    <n v="6.9"/>
    <s v="Medium Value"/>
    <x v="0"/>
    <n v="20"/>
    <s v="High Spender"/>
    <x v="1"/>
    <s v="Medium Value | High Spender | Regular"/>
  </r>
  <r>
    <n v="236"/>
    <n v="54"/>
    <x v="1"/>
    <n v="74000"/>
    <x v="1"/>
    <n v="630"/>
    <n v="9.4"/>
    <s v="High Value"/>
    <x v="1"/>
    <n v="27"/>
    <s v="High Spender"/>
    <x v="2"/>
    <s v="High Value | High Spender | Loyal"/>
  </r>
  <r>
    <n v="237"/>
    <n v="32"/>
    <x v="0"/>
    <n v="52000"/>
    <x v="0"/>
    <n v="360"/>
    <n v="5.8"/>
    <s v="Medium Value"/>
    <x v="2"/>
    <n v="18"/>
    <s v="Medium Spender"/>
    <x v="1"/>
    <s v="Medium Value | Medium Spender | Regular"/>
  </r>
  <r>
    <n v="238"/>
    <n v="31"/>
    <x v="4"/>
    <n v="51000"/>
    <x v="0"/>
    <n v="340"/>
    <n v="5.6"/>
    <s v="Medium Value"/>
    <x v="0"/>
    <n v="17"/>
    <s v="Medium Spender"/>
    <x v="1"/>
    <s v="Medium Value | Medium Spender | Regul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D7670B-4F10-48BA-B22F-1ECB40752E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B8" firstHeaderRow="1" firstDataRow="1" firstDataCol="1"/>
  <pivotFields count="13">
    <pivotField showAll="0"/>
    <pivotField showAll="0"/>
    <pivotField showAll="0"/>
    <pivotField showAll="0"/>
    <pivotField showAll="0"/>
    <pivotField dataField="1" showAll="0"/>
    <pivotField showAll="0"/>
    <pivotField showAll="0"/>
    <pivotField axis="axisRow" showAll="0">
      <items count="5">
        <item x="3"/>
        <item x="0"/>
        <item x="1"/>
        <item x="2"/>
        <item t="default"/>
      </items>
    </pivotField>
    <pivotField showAll="0"/>
    <pivotField showAll="0"/>
    <pivotField showAll="0"/>
    <pivotField showAll="0"/>
  </pivotFields>
  <rowFields count="1">
    <field x="8"/>
  </rowFields>
  <rowItems count="5">
    <i>
      <x/>
    </i>
    <i>
      <x v="1"/>
    </i>
    <i>
      <x v="2"/>
    </i>
    <i>
      <x v="3"/>
    </i>
    <i t="grand">
      <x/>
    </i>
  </rowItems>
  <colItems count="1">
    <i/>
  </colItems>
  <dataFields count="1">
    <dataField name="Sum of purchase_amount" fld="5"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B59F4-35B3-42C7-A54C-F8C1FE206B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Group">
  <location ref="A3:B9" firstHeaderRow="1" firstDataRow="1" firstDataCol="1"/>
  <pivotFields count="13">
    <pivotField dataField="1" showAll="0"/>
    <pivotField showAll="0"/>
    <pivotField axis="axisRow" showAll="0">
      <items count="6">
        <item x="2"/>
        <item x="0"/>
        <item x="3"/>
        <item x="1"/>
        <item x="4"/>
        <item t="default"/>
      </items>
    </pivotField>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s>
  <rowFields count="1">
    <field x="2"/>
  </rowFields>
  <rowItems count="6">
    <i>
      <x/>
    </i>
    <i>
      <x v="1"/>
    </i>
    <i>
      <x v="2"/>
    </i>
    <i>
      <x v="3"/>
    </i>
    <i>
      <x v="4"/>
    </i>
    <i t="grand">
      <x/>
    </i>
  </rowItems>
  <colItems count="1">
    <i/>
  </colItems>
  <dataFields count="1">
    <dataField name="Count of user_id" fld="0" subtotal="count"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F47003-5BE2-4584-9398-F557AFAA68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come Group">
  <location ref="A3:B7" firstHeaderRow="1" firstDataRow="1" firstDataCol="1"/>
  <pivotFields count="13">
    <pivotField showAll="0"/>
    <pivotField showAll="0"/>
    <pivotField showAll="0"/>
    <pivotField showAll="0"/>
    <pivotField axis="axisRow" showAll="0">
      <items count="4">
        <item x="1"/>
        <item x="2"/>
        <item x="0"/>
        <item t="default"/>
      </items>
    </pivotField>
    <pivotField dataField="1" showAll="0"/>
    <pivotField showAll="0"/>
    <pivotField showAll="0"/>
    <pivotField showAll="0">
      <items count="5">
        <item x="3"/>
        <item x="0"/>
        <item x="1"/>
        <item x="2"/>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Sum of purchase_amount" fld="5"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24ABAA-4FFF-4A3A-8A25-C6C173F9F7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_Status">
  <location ref="A3:B7" firstHeaderRow="1" firstDataRow="1" firstDataCol="1"/>
  <pivotFields count="13">
    <pivotField dataField="1"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axis="axisRow" showAll="0">
      <items count="4">
        <item x="0"/>
        <item x="2"/>
        <item x="1"/>
        <item t="default"/>
      </items>
    </pivotField>
    <pivotField showAll="0"/>
  </pivotFields>
  <rowFields count="1">
    <field x="11"/>
  </rowFields>
  <rowItems count="4">
    <i>
      <x/>
    </i>
    <i>
      <x v="1"/>
    </i>
    <i>
      <x v="2"/>
    </i>
    <i t="grand">
      <x/>
    </i>
  </rowItems>
  <colItems count="1">
    <i/>
  </colItems>
  <dataFields count="1">
    <dataField name="Count of user_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ED35DF4-449A-47D9-A049-B1F220511EA6}" autoFormatId="16" applyNumberFormats="0" applyBorderFormats="0" applyFontFormats="0" applyPatternFormats="0" applyAlignmentFormats="0" applyWidthHeightFormats="0">
  <queryTableRefresh nextId="11">
    <queryTableFields count="10">
      <queryTableField id="1" name="user_id" tableColumnId="1"/>
      <queryTableField id="2" name="age" tableColumnId="2"/>
      <queryTableField id="3" name="agegroup" tableColumnId="3"/>
      <queryTableField id="4" name="annual_income" tableColumnId="4"/>
      <queryTableField id="5" name="Incomegroup" tableColumnId="5"/>
      <queryTableField id="6" name="purchase_amount" tableColumnId="6"/>
      <queryTableField id="7" name="loyaltyscore" tableColumnId="7"/>
      <queryTableField id="8" name="customersegment" tableColumnId="8"/>
      <queryTableField id="9" name="region" tableColumnId="9"/>
      <queryTableField id="10" name="purchase_frequency"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55107CA-4675-487E-B509-D4F9D7A33768}" autoFormatId="16" applyNumberFormats="0" applyBorderFormats="0" applyFontFormats="0" applyPatternFormats="0" applyAlignmentFormats="0" applyWidthHeightFormats="0">
  <queryTableRefresh nextId="11">
    <queryTableFields count="10">
      <queryTableField id="1" name="user_id" tableColumnId="1"/>
      <queryTableField id="2" name="age" tableColumnId="2"/>
      <queryTableField id="3" name="agegroup" tableColumnId="3"/>
      <queryTableField id="4" name="annual_income" tableColumnId="4"/>
      <queryTableField id="5" name="Incomegroup" tableColumnId="5"/>
      <queryTableField id="6" name="purchase_amount" tableColumnId="6"/>
      <queryTableField id="7" name="loyaltyscore" tableColumnId="7"/>
      <queryTableField id="8" name="customersegment" tableColumnId="8"/>
      <queryTableField id="9" name="region" tableColumnId="9"/>
      <queryTableField id="10" name="purchase_frequency"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06D1468-252E-4BE1-9C9D-AA4CD63E6CDA}" autoFormatId="16" applyNumberFormats="0" applyBorderFormats="0" applyFontFormats="0" applyPatternFormats="0" applyAlignmentFormats="0" applyWidthHeightFormats="0">
  <queryTableRefresh nextId="14" unboundColumnsRight="3">
    <queryTableFields count="13">
      <queryTableField id="1" name="user_id" tableColumnId="1"/>
      <queryTableField id="2" name="age" tableColumnId="2"/>
      <queryTableField id="3" name="agegroup" tableColumnId="3"/>
      <queryTableField id="4" name="annual_income" tableColumnId="4"/>
      <queryTableField id="5" name="Incomegroup" tableColumnId="5"/>
      <queryTableField id="6" name="purchase_amount" tableColumnId="6"/>
      <queryTableField id="7" name="loyaltyscore" tableColumnId="7"/>
      <queryTableField id="8" name="customersegment" tableColumnId="8"/>
      <queryTableField id="9" name="region" tableColumnId="9"/>
      <queryTableField id="10" name="purchase_frequency"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D5CA65-9725-4E20-8AB8-137E85E9B841}" sourceName="region">
  <pivotTables>
    <pivotTable tabId="7" name="PivotTable2"/>
    <pivotTable tabId="9" name="PivotTable3"/>
    <pivotTable tabId="10" name="PivotTable4"/>
    <pivotTable tabId="14" name="PivotTable7"/>
  </pivotTables>
  <data>
    <tabular pivotCacheId="37982259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A9056CC4-33AB-4019-9B53-9FAFAEC4CFA7}" sourceName="agegroup">
  <pivotTables>
    <pivotTable tabId="9" name="PivotTable3"/>
  </pivotTables>
  <data>
    <tabular pivotCacheId="379822593">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group" xr10:uid="{9F879254-AEAB-43A6-8BC2-AD6DE30FE1B8}" sourceName="Incomegroup">
  <pivotTables>
    <pivotTable tabId="10" name="PivotTable4"/>
  </pivotTables>
  <data>
    <tabular pivotCacheId="37982259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40F30E56-C801-4983-8FAF-42ED1C77DE68}" sourceName="Customer_Status">
  <pivotTables>
    <pivotTable tabId="14" name="PivotTable7"/>
  </pivotTables>
  <data>
    <tabular pivotCacheId="3798225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A48E1E-C060-49CB-86C4-7FBCFB68462A}" cache="Slicer_region" caption="Filter by Region" style="SlicerStyleLight3" rowHeight="251883"/>
  <slicer name="agegroup" xr10:uid="{89F9247B-9B3B-425F-966E-D811D10D2FB0}" cache="Slicer_agegroup" caption="Filter by Agegroup" style="SlicerStyleOther1" rowHeight="251883"/>
  <slicer name="Incomegroup" xr10:uid="{906A01E7-AB25-44F6-B2F9-F6223FCC6BE4}" cache="Slicer_Incomegroup" caption=" Filter by Income group" style="SlicerStyleLight5" rowHeight="251883"/>
  <slicer name="Customer_Status" xr10:uid="{71378AD2-6F55-4CC3-B474-947740F75A4B}" cache="Slicer_Customer_Status" caption="Filter by Customer Status  "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A05618-CFFC-4913-B574-495124BCE776}" name="PQ_Cleaned_Data" displayName="PQ_Cleaned_Data" ref="A1:J239" tableType="queryTable" totalsRowShown="0">
  <autoFilter ref="A1:J239" xr:uid="{9DA05618-CFFC-4913-B574-495124BCE776}"/>
  <tableColumns count="10">
    <tableColumn id="1" xr3:uid="{48A2EC42-8529-4B9D-B978-5F334B24A919}" uniqueName="1" name="user_id" queryTableFieldId="1"/>
    <tableColumn id="2" xr3:uid="{3FE57E19-41F6-424A-AE5D-5369FFCDF3B6}" uniqueName="2" name="age" queryTableFieldId="2"/>
    <tableColumn id="3" xr3:uid="{1BC7FEE0-71E0-4456-8D74-791DAC3DD689}" uniqueName="3" name="agegroup" queryTableFieldId="3" dataDxfId="19"/>
    <tableColumn id="4" xr3:uid="{2EA3D24F-953A-45B0-BB75-E4D3E9B56BED}" uniqueName="4" name="annual_income" queryTableFieldId="4"/>
    <tableColumn id="5" xr3:uid="{E86A0A03-1EF0-4CE9-BDF3-CB5F199B36F0}" uniqueName="5" name="Incomegroup" queryTableFieldId="5" dataDxfId="18"/>
    <tableColumn id="6" xr3:uid="{C6FFF55D-9BD3-42D5-B2B6-187EBA81384C}" uniqueName="6" name="purchase_amount" queryTableFieldId="6"/>
    <tableColumn id="7" xr3:uid="{F6384BB7-501E-4698-B0B1-5F3809F0D530}" uniqueName="7" name="loyaltyscore" queryTableFieldId="7"/>
    <tableColumn id="8" xr3:uid="{92DDA603-5784-49B5-8510-890D3FD160DD}" uniqueName="8" name="customersegment" queryTableFieldId="8" dataDxfId="17"/>
    <tableColumn id="9" xr3:uid="{9A4AD529-223A-45C5-A366-CDA4DA9D398D}" uniqueName="9" name="region" queryTableFieldId="9" dataDxfId="16"/>
    <tableColumn id="10" xr3:uid="{554D0993-6C03-490E-8E96-57AE7202F5CA}" uniqueName="10" name="purchase_frequency"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B875A9-6589-4CA2-9727-96C34EB008E9}" name="tbl_raw" displayName="tbl_raw" ref="A1:J239" tableType="queryTable" totalsRowShown="0">
  <autoFilter ref="A1:J239" xr:uid="{28B875A9-6589-4CA2-9727-96C34EB008E9}"/>
  <tableColumns count="10">
    <tableColumn id="1" xr3:uid="{C40265D3-B508-4DE0-A537-C7FBC044F646}" uniqueName="1" name="user_id" queryTableFieldId="1"/>
    <tableColumn id="2" xr3:uid="{AA24813C-820B-4577-B1AD-9EC5B009F531}" uniqueName="2" name="age" queryTableFieldId="2"/>
    <tableColumn id="3" xr3:uid="{91FC8C91-0D4F-4648-A075-F6A57F1DDF33}" uniqueName="3" name="agegroup" queryTableFieldId="3" dataDxfId="15"/>
    <tableColumn id="4" xr3:uid="{2DB8FA95-F0A3-47B9-BDBA-5B5FA2770EB0}" uniqueName="4" name="annual_income" queryTableFieldId="4"/>
    <tableColumn id="5" xr3:uid="{C8A600AA-A307-4EB1-A829-A40297BFEBFC}" uniqueName="5" name="Incomegroup" queryTableFieldId="5" dataDxfId="14"/>
    <tableColumn id="6" xr3:uid="{05A5F344-BEA7-41A6-A506-F934C76B4ED5}" uniqueName="6" name="purchase_amount" queryTableFieldId="6"/>
    <tableColumn id="7" xr3:uid="{A7E2F58C-DAD0-4EDF-8D9F-8B088295EE32}" uniqueName="7" name="loyaltyscore" queryTableFieldId="7"/>
    <tableColumn id="8" xr3:uid="{A3700831-18D3-4A26-996C-1AC587BE6E6A}" uniqueName="8" name="customersegment" queryTableFieldId="8" dataDxfId="13"/>
    <tableColumn id="9" xr3:uid="{EDC212B9-7A26-421F-B2A9-47F53BA5A2B7}" uniqueName="9" name="region" queryTableFieldId="9" dataDxfId="12"/>
    <tableColumn id="10" xr3:uid="{6D5CC583-1795-4430-BAEF-F72F7B9D3DC6}" uniqueName="10" name="purchase_frequency"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E302A2-A404-4B62-BDF3-1BCDBEF8C787}" name="Table1" displayName="Table1" ref="A1:J239" totalsRowShown="0" headerRowDxfId="11" dataDxfId="10">
  <tableColumns count="10">
    <tableColumn id="1" xr3:uid="{11EB534F-6D09-457E-9544-E443969C7CF4}" name="user_id" dataDxfId="9"/>
    <tableColumn id="2" xr3:uid="{8E8C7AF1-4072-4407-B746-E8675B8E428A}" name="age" dataDxfId="8"/>
    <tableColumn id="9" xr3:uid="{283FC1B9-98DF-4770-BFC0-5EFD9136299D}" name="agegroup" dataDxfId="7"/>
    <tableColumn id="3" xr3:uid="{19CD4080-39CC-4B32-A8B8-A00624C221B7}" name="annual_income" dataDxfId="6" dataCellStyle="Currency"/>
    <tableColumn id="10" xr3:uid="{655662C8-F93D-430F-AD16-3B659A1CB688}" name="Incomegroup" dataDxfId="5" dataCellStyle="Currency">
      <calculatedColumnFormula>IF(Table1[[#This Row],[annual_income]]&lt;40000,"Low",IF(Table1[[#This Row],[annual_income]]&lt;60000,"Medium","High"))</calculatedColumnFormula>
    </tableColumn>
    <tableColumn id="4" xr3:uid="{B55C142C-823D-437D-939A-30F4B7F84D73}" name="purchase_amount" dataDxfId="4"/>
    <tableColumn id="5" xr3:uid="{D3FC5DC2-5A7E-4E3A-991B-414568373B1B}" name="loyaltyscore" dataDxfId="3"/>
    <tableColumn id="11" xr3:uid="{F3ECB03C-13DC-4C2A-8DCB-00A59BB28957}" name="customersegment" dataDxfId="2">
      <calculatedColumnFormula>IF(Table1[[#This Row],[loyaltyscore]]&gt;=8,"High Value",IF(Table1[[#This Row],[loyaltyscore]]&gt;=5,"Medium Value","Low Value"))</calculatedColumnFormula>
    </tableColumn>
    <tableColumn id="6" xr3:uid="{FB79C703-17D1-4F11-9087-AC9AAD5F2484}" name="region" dataDxfId="1"/>
    <tableColumn id="7" xr3:uid="{02DC3935-D8A4-4178-95B0-D5956D1F7C79}" name="purchase_frequency"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5090D6-F522-475F-A410-4913ED24AF32}" name="Feature_Table" displayName="Feature_Table" ref="A1:M239" tableType="queryTable" totalsRowShown="0">
  <autoFilter ref="A1:M239" xr:uid="{D95090D6-F522-475F-A410-4913ED24AF32}"/>
  <sortState xmlns:xlrd2="http://schemas.microsoft.com/office/spreadsheetml/2017/richdata2" ref="A2:J239">
    <sortCondition ref="A1:A239"/>
  </sortState>
  <tableColumns count="13">
    <tableColumn id="1" xr3:uid="{7277D8C1-B844-404C-96C7-95C8F01C487E}" uniqueName="1" name="user_id" queryTableFieldId="1"/>
    <tableColumn id="2" xr3:uid="{99BF3395-DF76-4B52-B7F2-716DBB59E523}" uniqueName="2" name="age" queryTableFieldId="2"/>
    <tableColumn id="3" xr3:uid="{C977269A-C01C-45D8-A963-51F62C701A1C}" uniqueName="3" name="agegroup" queryTableFieldId="3" dataDxfId="23"/>
    <tableColumn id="4" xr3:uid="{B21440EA-DDD3-4108-8EB2-44D2C001E1BA}" uniqueName="4" name="annual_income" queryTableFieldId="4"/>
    <tableColumn id="5" xr3:uid="{E26AB361-7A84-44B1-999E-3A281A5389D2}" uniqueName="5" name="Incomegroup" queryTableFieldId="5" dataDxfId="22"/>
    <tableColumn id="6" xr3:uid="{E4AC8499-56CE-435F-A8AB-C7C9070E522B}" uniqueName="6" name="purchase_amount" queryTableFieldId="6"/>
    <tableColumn id="7" xr3:uid="{81FC82A7-7BF8-49D0-AC7C-4D41405C0241}" uniqueName="7" name="loyaltyscore" queryTableFieldId="7"/>
    <tableColumn id="8" xr3:uid="{DF961447-E026-4A77-A8A1-91A1DCD762FD}" uniqueName="8" name="customersegment" queryTableFieldId="8" dataDxfId="21"/>
    <tableColumn id="9" xr3:uid="{32984430-3905-4F46-9A13-51036BA00AD3}" uniqueName="9" name="region" queryTableFieldId="9" dataDxfId="20"/>
    <tableColumn id="10" xr3:uid="{C859979A-4337-4CC5-9D55-899BD5EBDD4E}" uniqueName="10" name="purchase_frequency" queryTableFieldId="10"/>
    <tableColumn id="11" xr3:uid="{AFC82D62-203F-45DC-B56C-F2E5BC1EAE31}" uniqueName="11" name="Spending_Level" queryTableFieldId="11">
      <calculatedColumnFormula>IF(F2&gt;=400,"High Spender",IF(F2&gt;=250,"Medium Spender","Low Spender"))</calculatedColumnFormula>
    </tableColumn>
    <tableColumn id="12" xr3:uid="{0E69DAE1-DF81-4145-8800-D5FAF8EE5E91}" uniqueName="12" name="Customer_Status" queryTableFieldId="12">
      <calculatedColumnFormula>IF(OR(G2&lt;5,J2&lt;10),"At Risk",IF(G2&gt;=8,"Loyal","Regular"))</calculatedColumnFormula>
    </tableColumn>
    <tableColumn id="13" xr3:uid="{B9F98A52-D8EB-4B7A-90ED-CDD481A1B6CE}" uniqueName="13" name="Final_Segment" queryTableFieldId="13">
      <calculatedColumnFormula>H2 &amp; " | " &amp; K2 &amp; " | " &amp; L2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4B4A-30BF-4231-92C0-C3933C996DA8}">
  <dimension ref="C2:D20"/>
  <sheetViews>
    <sheetView showGridLines="0" tabSelected="1" zoomScale="87" zoomScaleNormal="87" workbookViewId="0">
      <selection activeCell="I5" sqref="I5"/>
    </sheetView>
  </sheetViews>
  <sheetFormatPr defaultRowHeight="14.5" x14ac:dyDescent="0.35"/>
  <sheetData>
    <row r="2" spans="3:4" ht="21" x14ac:dyDescent="0.5">
      <c r="C2" s="9" t="s">
        <v>57</v>
      </c>
    </row>
    <row r="3" spans="3:4" x14ac:dyDescent="0.35">
      <c r="C3" t="s">
        <v>58</v>
      </c>
      <c r="D3" t="s">
        <v>59</v>
      </c>
    </row>
    <row r="5" spans="3:4" ht="21" x14ac:dyDescent="0.5">
      <c r="C5" s="9" t="s">
        <v>62</v>
      </c>
    </row>
    <row r="6" spans="3:4" x14ac:dyDescent="0.35">
      <c r="C6" t="s">
        <v>60</v>
      </c>
    </row>
    <row r="8" spans="3:4" ht="21" x14ac:dyDescent="0.5">
      <c r="C8" s="9" t="s">
        <v>61</v>
      </c>
    </row>
    <row r="9" spans="3:4" x14ac:dyDescent="0.35">
      <c r="C9" t="s">
        <v>63</v>
      </c>
    </row>
    <row r="11" spans="3:4" ht="21" x14ac:dyDescent="0.5">
      <c r="C11" s="9" t="s">
        <v>64</v>
      </c>
    </row>
    <row r="12" spans="3:4" x14ac:dyDescent="0.35">
      <c r="C12" t="s">
        <v>65</v>
      </c>
    </row>
    <row r="13" spans="3:4" x14ac:dyDescent="0.35">
      <c r="C13" t="s">
        <v>66</v>
      </c>
    </row>
    <row r="14" spans="3:4" x14ac:dyDescent="0.35">
      <c r="C14" t="s">
        <v>67</v>
      </c>
    </row>
    <row r="15" spans="3:4" x14ac:dyDescent="0.35">
      <c r="C15" t="s">
        <v>68</v>
      </c>
    </row>
    <row r="16" spans="3:4" x14ac:dyDescent="0.35">
      <c r="C16" t="s">
        <v>69</v>
      </c>
    </row>
    <row r="17" spans="3:3" x14ac:dyDescent="0.35">
      <c r="C17" t="s">
        <v>70</v>
      </c>
    </row>
    <row r="19" spans="3:3" ht="21" x14ac:dyDescent="0.5">
      <c r="C19" s="9" t="s">
        <v>71</v>
      </c>
    </row>
    <row r="20" spans="3:3" x14ac:dyDescent="0.35">
      <c r="C20" t="s">
        <v>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FE2A-801A-4863-A7FE-45EA7C730C73}">
  <dimension ref="A1:J239"/>
  <sheetViews>
    <sheetView workbookViewId="0">
      <selection activeCell="L9" sqref="L9"/>
    </sheetView>
  </sheetViews>
  <sheetFormatPr defaultRowHeight="14.5" x14ac:dyDescent="0.35"/>
  <cols>
    <col min="1" max="1" width="9.1796875" bestFit="1" customWidth="1"/>
    <col min="2" max="2" width="6" bestFit="1" customWidth="1"/>
    <col min="3" max="3" width="10.7265625" bestFit="1" customWidth="1"/>
    <col min="4" max="4" width="16.08984375" bestFit="1" customWidth="1"/>
    <col min="5" max="5" width="14.08984375" bestFit="1" customWidth="1"/>
    <col min="6" max="6" width="18.26953125" bestFit="1" customWidth="1"/>
    <col min="7" max="7" width="13.1796875" bestFit="1" customWidth="1"/>
    <col min="8" max="8" width="18.26953125" bestFit="1" customWidth="1"/>
    <col min="9" max="9" width="8.26953125" bestFit="1" customWidth="1"/>
    <col min="10" max="10" width="20.36328125" bestFit="1" customWidth="1"/>
  </cols>
  <sheetData>
    <row r="1" spans="1:10" x14ac:dyDescent="0.35">
      <c r="A1" t="s">
        <v>13</v>
      </c>
      <c r="B1" t="s">
        <v>0</v>
      </c>
      <c r="C1" t="s">
        <v>7</v>
      </c>
      <c r="D1" t="s">
        <v>12</v>
      </c>
      <c r="E1" t="s">
        <v>8</v>
      </c>
      <c r="F1" t="s">
        <v>11</v>
      </c>
      <c r="G1" t="s">
        <v>9</v>
      </c>
      <c r="H1" t="s">
        <v>10</v>
      </c>
      <c r="I1" t="s">
        <v>1</v>
      </c>
      <c r="J1" t="s">
        <v>2</v>
      </c>
    </row>
    <row r="2" spans="1:10" x14ac:dyDescent="0.35">
      <c r="A2">
        <v>1</v>
      </c>
      <c r="B2">
        <v>25</v>
      </c>
      <c r="C2" t="s">
        <v>14</v>
      </c>
      <c r="D2">
        <v>45000</v>
      </c>
      <c r="E2" t="s">
        <v>15</v>
      </c>
      <c r="F2">
        <v>200</v>
      </c>
      <c r="G2">
        <v>4.5</v>
      </c>
      <c r="H2" t="s">
        <v>16</v>
      </c>
      <c r="I2" t="s">
        <v>3</v>
      </c>
      <c r="J2">
        <v>12</v>
      </c>
    </row>
    <row r="3" spans="1:10" x14ac:dyDescent="0.35">
      <c r="A3">
        <v>2</v>
      </c>
      <c r="B3">
        <v>34</v>
      </c>
      <c r="C3" t="s">
        <v>14</v>
      </c>
      <c r="D3">
        <v>55000</v>
      </c>
      <c r="E3" t="s">
        <v>15</v>
      </c>
      <c r="F3">
        <v>350</v>
      </c>
      <c r="G3">
        <v>7</v>
      </c>
      <c r="H3" t="s">
        <v>17</v>
      </c>
      <c r="I3" t="s">
        <v>4</v>
      </c>
      <c r="J3">
        <v>18</v>
      </c>
    </row>
    <row r="4" spans="1:10" x14ac:dyDescent="0.35">
      <c r="A4">
        <v>3</v>
      </c>
      <c r="B4">
        <v>45</v>
      </c>
      <c r="C4" t="s">
        <v>18</v>
      </c>
      <c r="D4">
        <v>65000</v>
      </c>
      <c r="E4" t="s">
        <v>19</v>
      </c>
      <c r="F4">
        <v>500</v>
      </c>
      <c r="G4">
        <v>8</v>
      </c>
      <c r="H4" t="s">
        <v>20</v>
      </c>
      <c r="I4" t="s">
        <v>5</v>
      </c>
      <c r="J4">
        <v>22</v>
      </c>
    </row>
    <row r="5" spans="1:10" x14ac:dyDescent="0.35">
      <c r="A5">
        <v>4</v>
      </c>
      <c r="B5">
        <v>22</v>
      </c>
      <c r="C5" t="s">
        <v>21</v>
      </c>
      <c r="D5">
        <v>30000</v>
      </c>
      <c r="E5" t="s">
        <v>22</v>
      </c>
      <c r="F5">
        <v>150</v>
      </c>
      <c r="G5">
        <v>3</v>
      </c>
      <c r="H5" t="s">
        <v>16</v>
      </c>
      <c r="I5" t="s">
        <v>6</v>
      </c>
      <c r="J5">
        <v>10</v>
      </c>
    </row>
    <row r="6" spans="1:10" x14ac:dyDescent="0.35">
      <c r="A6">
        <v>5</v>
      </c>
      <c r="B6">
        <v>29</v>
      </c>
      <c r="C6" t="s">
        <v>14</v>
      </c>
      <c r="D6">
        <v>47000</v>
      </c>
      <c r="E6" t="s">
        <v>15</v>
      </c>
      <c r="F6">
        <v>220</v>
      </c>
      <c r="G6">
        <v>4.8</v>
      </c>
      <c r="H6" t="s">
        <v>16</v>
      </c>
      <c r="I6" t="s">
        <v>3</v>
      </c>
      <c r="J6">
        <v>13</v>
      </c>
    </row>
    <row r="7" spans="1:10" x14ac:dyDescent="0.35">
      <c r="A7">
        <v>6</v>
      </c>
      <c r="B7">
        <v>41</v>
      </c>
      <c r="C7" t="s">
        <v>23</v>
      </c>
      <c r="D7">
        <v>61000</v>
      </c>
      <c r="E7" t="s">
        <v>19</v>
      </c>
      <c r="F7">
        <v>480</v>
      </c>
      <c r="G7">
        <v>7.8</v>
      </c>
      <c r="H7" t="s">
        <v>17</v>
      </c>
      <c r="I7" t="s">
        <v>4</v>
      </c>
      <c r="J7">
        <v>21</v>
      </c>
    </row>
    <row r="8" spans="1:10" x14ac:dyDescent="0.35">
      <c r="A8">
        <v>7</v>
      </c>
      <c r="B8">
        <v>36</v>
      </c>
      <c r="C8" t="s">
        <v>23</v>
      </c>
      <c r="D8">
        <v>54000</v>
      </c>
      <c r="E8" t="s">
        <v>15</v>
      </c>
      <c r="F8">
        <v>400</v>
      </c>
      <c r="G8">
        <v>6.5</v>
      </c>
      <c r="H8" t="s">
        <v>17</v>
      </c>
      <c r="I8" t="s">
        <v>5</v>
      </c>
      <c r="J8">
        <v>19</v>
      </c>
    </row>
    <row r="9" spans="1:10" x14ac:dyDescent="0.35">
      <c r="A9">
        <v>8</v>
      </c>
      <c r="B9">
        <v>27</v>
      </c>
      <c r="C9" t="s">
        <v>14</v>
      </c>
      <c r="D9">
        <v>43000</v>
      </c>
      <c r="E9" t="s">
        <v>15</v>
      </c>
      <c r="F9">
        <v>230</v>
      </c>
      <c r="G9">
        <v>4.2</v>
      </c>
      <c r="H9" t="s">
        <v>16</v>
      </c>
      <c r="I9" t="s">
        <v>6</v>
      </c>
      <c r="J9">
        <v>14</v>
      </c>
    </row>
    <row r="10" spans="1:10" x14ac:dyDescent="0.35">
      <c r="A10">
        <v>9</v>
      </c>
      <c r="B10">
        <v>50</v>
      </c>
      <c r="C10" t="s">
        <v>18</v>
      </c>
      <c r="D10">
        <v>70000</v>
      </c>
      <c r="E10" t="s">
        <v>19</v>
      </c>
      <c r="F10">
        <v>600</v>
      </c>
      <c r="G10">
        <v>9</v>
      </c>
      <c r="H10" t="s">
        <v>20</v>
      </c>
      <c r="I10" t="s">
        <v>3</v>
      </c>
      <c r="J10">
        <v>25</v>
      </c>
    </row>
    <row r="11" spans="1:10" x14ac:dyDescent="0.35">
      <c r="A11">
        <v>10</v>
      </c>
      <c r="B11">
        <v>31</v>
      </c>
      <c r="C11" t="s">
        <v>14</v>
      </c>
      <c r="D11">
        <v>50000</v>
      </c>
      <c r="E11" t="s">
        <v>15</v>
      </c>
      <c r="F11">
        <v>320</v>
      </c>
      <c r="G11">
        <v>5.5</v>
      </c>
      <c r="H11" t="s">
        <v>17</v>
      </c>
      <c r="I11" t="s">
        <v>4</v>
      </c>
      <c r="J11">
        <v>17</v>
      </c>
    </row>
    <row r="12" spans="1:10" x14ac:dyDescent="0.35">
      <c r="A12">
        <v>11</v>
      </c>
      <c r="B12">
        <v>28</v>
      </c>
      <c r="C12" t="s">
        <v>14</v>
      </c>
      <c r="D12">
        <v>46000</v>
      </c>
      <c r="E12" t="s">
        <v>15</v>
      </c>
      <c r="F12">
        <v>250</v>
      </c>
      <c r="G12">
        <v>4.4000000000000004</v>
      </c>
      <c r="H12" t="s">
        <v>16</v>
      </c>
      <c r="I12" t="s">
        <v>5</v>
      </c>
      <c r="J12">
        <v>15</v>
      </c>
    </row>
    <row r="13" spans="1:10" x14ac:dyDescent="0.35">
      <c r="A13">
        <v>12</v>
      </c>
      <c r="B13">
        <v>42</v>
      </c>
      <c r="C13" t="s">
        <v>23</v>
      </c>
      <c r="D13">
        <v>62000</v>
      </c>
      <c r="E13" t="s">
        <v>19</v>
      </c>
      <c r="F13">
        <v>520</v>
      </c>
      <c r="G13">
        <v>8.1999999999999993</v>
      </c>
      <c r="H13" t="s">
        <v>20</v>
      </c>
      <c r="I13" t="s">
        <v>3</v>
      </c>
      <c r="J13">
        <v>23</v>
      </c>
    </row>
    <row r="14" spans="1:10" x14ac:dyDescent="0.35">
      <c r="A14">
        <v>13</v>
      </c>
      <c r="B14">
        <v>33</v>
      </c>
      <c r="C14" t="s">
        <v>14</v>
      </c>
      <c r="D14">
        <v>53000</v>
      </c>
      <c r="E14" t="s">
        <v>15</v>
      </c>
      <c r="F14">
        <v>380</v>
      </c>
      <c r="G14">
        <v>6</v>
      </c>
      <c r="H14" t="s">
        <v>17</v>
      </c>
      <c r="I14" t="s">
        <v>4</v>
      </c>
      <c r="J14">
        <v>18</v>
      </c>
    </row>
    <row r="15" spans="1:10" x14ac:dyDescent="0.35">
      <c r="A15">
        <v>14</v>
      </c>
      <c r="B15">
        <v>37</v>
      </c>
      <c r="C15" t="s">
        <v>23</v>
      </c>
      <c r="D15">
        <v>58000</v>
      </c>
      <c r="E15" t="s">
        <v>15</v>
      </c>
      <c r="F15">
        <v>420</v>
      </c>
      <c r="G15">
        <v>6.8</v>
      </c>
      <c r="H15" t="s">
        <v>17</v>
      </c>
      <c r="I15" t="s">
        <v>6</v>
      </c>
      <c r="J15">
        <v>20</v>
      </c>
    </row>
    <row r="16" spans="1:10" x14ac:dyDescent="0.35">
      <c r="A16">
        <v>15</v>
      </c>
      <c r="B16">
        <v>49</v>
      </c>
      <c r="C16" t="s">
        <v>18</v>
      </c>
      <c r="D16">
        <v>69000</v>
      </c>
      <c r="E16" t="s">
        <v>19</v>
      </c>
      <c r="F16">
        <v>590</v>
      </c>
      <c r="G16">
        <v>8.9</v>
      </c>
      <c r="H16" t="s">
        <v>20</v>
      </c>
      <c r="I16" t="s">
        <v>5</v>
      </c>
      <c r="J16">
        <v>24</v>
      </c>
    </row>
    <row r="17" spans="1:10" x14ac:dyDescent="0.35">
      <c r="A17">
        <v>16</v>
      </c>
      <c r="B17">
        <v>23</v>
      </c>
      <c r="C17" t="s">
        <v>21</v>
      </c>
      <c r="D17">
        <v>31000</v>
      </c>
      <c r="E17" t="s">
        <v>22</v>
      </c>
      <c r="F17">
        <v>160</v>
      </c>
      <c r="G17">
        <v>3.2</v>
      </c>
      <c r="H17" t="s">
        <v>16</v>
      </c>
      <c r="I17" t="s">
        <v>3</v>
      </c>
      <c r="J17">
        <v>11</v>
      </c>
    </row>
    <row r="18" spans="1:10" x14ac:dyDescent="0.35">
      <c r="A18">
        <v>17</v>
      </c>
      <c r="B18">
        <v>39</v>
      </c>
      <c r="C18" t="s">
        <v>23</v>
      </c>
      <c r="D18">
        <v>57000</v>
      </c>
      <c r="E18" t="s">
        <v>15</v>
      </c>
      <c r="F18">
        <v>440</v>
      </c>
      <c r="G18">
        <v>7</v>
      </c>
      <c r="H18" t="s">
        <v>17</v>
      </c>
      <c r="I18" t="s">
        <v>4</v>
      </c>
      <c r="J18">
        <v>21</v>
      </c>
    </row>
    <row r="19" spans="1:10" x14ac:dyDescent="0.35">
      <c r="A19">
        <v>18</v>
      </c>
      <c r="B19">
        <v>30</v>
      </c>
      <c r="C19" t="s">
        <v>14</v>
      </c>
      <c r="D19">
        <v>49000</v>
      </c>
      <c r="E19" t="s">
        <v>15</v>
      </c>
      <c r="F19">
        <v>300</v>
      </c>
      <c r="G19">
        <v>5</v>
      </c>
      <c r="H19" t="s">
        <v>17</v>
      </c>
      <c r="I19" t="s">
        <v>5</v>
      </c>
      <c r="J19">
        <v>16</v>
      </c>
    </row>
    <row r="20" spans="1:10" x14ac:dyDescent="0.35">
      <c r="A20">
        <v>19</v>
      </c>
      <c r="B20">
        <v>46</v>
      </c>
      <c r="C20" t="s">
        <v>18</v>
      </c>
      <c r="D20">
        <v>66000</v>
      </c>
      <c r="E20" t="s">
        <v>19</v>
      </c>
      <c r="F20">
        <v>510</v>
      </c>
      <c r="G20">
        <v>8.1</v>
      </c>
      <c r="H20" t="s">
        <v>20</v>
      </c>
      <c r="I20" t="s">
        <v>3</v>
      </c>
      <c r="J20">
        <v>22</v>
      </c>
    </row>
    <row r="21" spans="1:10" x14ac:dyDescent="0.35">
      <c r="A21">
        <v>20</v>
      </c>
      <c r="B21">
        <v>26</v>
      </c>
      <c r="C21" t="s">
        <v>14</v>
      </c>
      <c r="D21">
        <v>44000</v>
      </c>
      <c r="E21" t="s">
        <v>15</v>
      </c>
      <c r="F21">
        <v>240</v>
      </c>
      <c r="G21">
        <v>4.3</v>
      </c>
      <c r="H21" t="s">
        <v>16</v>
      </c>
      <c r="I21" t="s">
        <v>6</v>
      </c>
      <c r="J21">
        <v>14</v>
      </c>
    </row>
    <row r="22" spans="1:10" x14ac:dyDescent="0.35">
      <c r="A22">
        <v>21</v>
      </c>
      <c r="B22">
        <v>52</v>
      </c>
      <c r="C22" t="s">
        <v>18</v>
      </c>
      <c r="D22">
        <v>72000</v>
      </c>
      <c r="E22" t="s">
        <v>19</v>
      </c>
      <c r="F22">
        <v>610</v>
      </c>
      <c r="G22">
        <v>9.1999999999999993</v>
      </c>
      <c r="H22" t="s">
        <v>20</v>
      </c>
      <c r="I22" t="s">
        <v>4</v>
      </c>
      <c r="J22">
        <v>26</v>
      </c>
    </row>
    <row r="23" spans="1:10" x14ac:dyDescent="0.35">
      <c r="A23">
        <v>22</v>
      </c>
      <c r="B23">
        <v>24</v>
      </c>
      <c r="C23" t="s">
        <v>21</v>
      </c>
      <c r="D23">
        <v>32000</v>
      </c>
      <c r="E23" t="s">
        <v>22</v>
      </c>
      <c r="F23">
        <v>170</v>
      </c>
      <c r="G23">
        <v>3.3</v>
      </c>
      <c r="H23" t="s">
        <v>16</v>
      </c>
      <c r="I23" t="s">
        <v>5</v>
      </c>
      <c r="J23">
        <v>12</v>
      </c>
    </row>
    <row r="24" spans="1:10" x14ac:dyDescent="0.35">
      <c r="A24">
        <v>23</v>
      </c>
      <c r="B24">
        <v>44</v>
      </c>
      <c r="C24" t="s">
        <v>23</v>
      </c>
      <c r="D24">
        <v>63000</v>
      </c>
      <c r="E24" t="s">
        <v>19</v>
      </c>
      <c r="F24">
        <v>460</v>
      </c>
      <c r="G24">
        <v>7.5</v>
      </c>
      <c r="H24" t="s">
        <v>17</v>
      </c>
      <c r="I24" t="s">
        <v>3</v>
      </c>
      <c r="J24">
        <v>21</v>
      </c>
    </row>
    <row r="25" spans="1:10" x14ac:dyDescent="0.35">
      <c r="A25">
        <v>24</v>
      </c>
      <c r="B25">
        <v>35</v>
      </c>
      <c r="C25" t="s">
        <v>23</v>
      </c>
      <c r="D25">
        <v>56000</v>
      </c>
      <c r="E25" t="s">
        <v>15</v>
      </c>
      <c r="F25">
        <v>390</v>
      </c>
      <c r="G25">
        <v>6.2</v>
      </c>
      <c r="H25" t="s">
        <v>17</v>
      </c>
      <c r="I25" t="s">
        <v>4</v>
      </c>
      <c r="J25">
        <v>19</v>
      </c>
    </row>
    <row r="26" spans="1:10" x14ac:dyDescent="0.35">
      <c r="A26">
        <v>25</v>
      </c>
      <c r="B26">
        <v>38</v>
      </c>
      <c r="C26" t="s">
        <v>23</v>
      </c>
      <c r="D26">
        <v>59000</v>
      </c>
      <c r="E26" t="s">
        <v>15</v>
      </c>
      <c r="F26">
        <v>430</v>
      </c>
      <c r="G26">
        <v>6.9</v>
      </c>
      <c r="H26" t="s">
        <v>17</v>
      </c>
      <c r="I26" t="s">
        <v>6</v>
      </c>
      <c r="J26">
        <v>20</v>
      </c>
    </row>
    <row r="27" spans="1:10" x14ac:dyDescent="0.35">
      <c r="A27">
        <v>26</v>
      </c>
      <c r="B27">
        <v>47</v>
      </c>
      <c r="C27" t="s">
        <v>18</v>
      </c>
      <c r="D27">
        <v>67000</v>
      </c>
      <c r="E27" t="s">
        <v>19</v>
      </c>
      <c r="F27">
        <v>530</v>
      </c>
      <c r="G27">
        <v>8.3000000000000007</v>
      </c>
      <c r="H27" t="s">
        <v>20</v>
      </c>
      <c r="I27" t="s">
        <v>5</v>
      </c>
      <c r="J27">
        <v>23</v>
      </c>
    </row>
    <row r="28" spans="1:10" x14ac:dyDescent="0.35">
      <c r="A28">
        <v>27</v>
      </c>
      <c r="B28">
        <v>32</v>
      </c>
      <c r="C28" t="s">
        <v>14</v>
      </c>
      <c r="D28">
        <v>52000</v>
      </c>
      <c r="E28" t="s">
        <v>15</v>
      </c>
      <c r="F28">
        <v>360</v>
      </c>
      <c r="G28">
        <v>5.8</v>
      </c>
      <c r="H28" t="s">
        <v>17</v>
      </c>
      <c r="I28" t="s">
        <v>3</v>
      </c>
      <c r="J28">
        <v>18</v>
      </c>
    </row>
    <row r="29" spans="1:10" x14ac:dyDescent="0.35">
      <c r="A29">
        <v>28</v>
      </c>
      <c r="B29">
        <v>29</v>
      </c>
      <c r="C29" t="s">
        <v>14</v>
      </c>
      <c r="D29">
        <v>48000</v>
      </c>
      <c r="E29" t="s">
        <v>15</v>
      </c>
      <c r="F29">
        <v>280</v>
      </c>
      <c r="G29">
        <v>4.5999999999999996</v>
      </c>
      <c r="H29" t="s">
        <v>16</v>
      </c>
      <c r="I29" t="s">
        <v>4</v>
      </c>
      <c r="J29">
        <v>15</v>
      </c>
    </row>
    <row r="30" spans="1:10" x14ac:dyDescent="0.35">
      <c r="A30">
        <v>29</v>
      </c>
      <c r="B30">
        <v>51</v>
      </c>
      <c r="C30" t="s">
        <v>18</v>
      </c>
      <c r="D30">
        <v>71000</v>
      </c>
      <c r="E30" t="s">
        <v>19</v>
      </c>
      <c r="F30">
        <v>600</v>
      </c>
      <c r="G30">
        <v>9</v>
      </c>
      <c r="H30" t="s">
        <v>20</v>
      </c>
      <c r="I30" t="s">
        <v>5</v>
      </c>
      <c r="J30">
        <v>25</v>
      </c>
    </row>
    <row r="31" spans="1:10" x14ac:dyDescent="0.35">
      <c r="A31">
        <v>30</v>
      </c>
      <c r="B31">
        <v>40</v>
      </c>
      <c r="C31" t="s">
        <v>23</v>
      </c>
      <c r="D31">
        <v>60000</v>
      </c>
      <c r="E31" t="s">
        <v>19</v>
      </c>
      <c r="F31">
        <v>450</v>
      </c>
      <c r="G31">
        <v>7.2</v>
      </c>
      <c r="H31" t="s">
        <v>17</v>
      </c>
      <c r="I31" t="s">
        <v>6</v>
      </c>
      <c r="J31">
        <v>22</v>
      </c>
    </row>
    <row r="32" spans="1:10" x14ac:dyDescent="0.35">
      <c r="A32">
        <v>31</v>
      </c>
      <c r="B32">
        <v>34</v>
      </c>
      <c r="C32" t="s">
        <v>14</v>
      </c>
      <c r="D32">
        <v>55000</v>
      </c>
      <c r="E32" t="s">
        <v>15</v>
      </c>
      <c r="F32">
        <v>350</v>
      </c>
      <c r="G32">
        <v>6.5</v>
      </c>
      <c r="H32" t="s">
        <v>17</v>
      </c>
      <c r="I32" t="s">
        <v>3</v>
      </c>
      <c r="J32">
        <v>19</v>
      </c>
    </row>
    <row r="33" spans="1:10" x14ac:dyDescent="0.35">
      <c r="A33">
        <v>32</v>
      </c>
      <c r="B33">
        <v>43</v>
      </c>
      <c r="C33" t="s">
        <v>23</v>
      </c>
      <c r="D33">
        <v>64000</v>
      </c>
      <c r="E33" t="s">
        <v>19</v>
      </c>
      <c r="F33">
        <v>470</v>
      </c>
      <c r="G33">
        <v>7.8</v>
      </c>
      <c r="H33" t="s">
        <v>17</v>
      </c>
      <c r="I33" t="s">
        <v>4</v>
      </c>
      <c r="J33">
        <v>21</v>
      </c>
    </row>
    <row r="34" spans="1:10" x14ac:dyDescent="0.35">
      <c r="A34">
        <v>33</v>
      </c>
      <c r="B34">
        <v>31</v>
      </c>
      <c r="C34" t="s">
        <v>14</v>
      </c>
      <c r="D34">
        <v>50000</v>
      </c>
      <c r="E34" t="s">
        <v>15</v>
      </c>
      <c r="F34">
        <v>320</v>
      </c>
      <c r="G34">
        <v>5.5</v>
      </c>
      <c r="H34" t="s">
        <v>17</v>
      </c>
      <c r="I34" t="s">
        <v>5</v>
      </c>
      <c r="J34">
        <v>16</v>
      </c>
    </row>
    <row r="35" spans="1:10" x14ac:dyDescent="0.35">
      <c r="A35">
        <v>34</v>
      </c>
      <c r="B35">
        <v>27</v>
      </c>
      <c r="C35" t="s">
        <v>14</v>
      </c>
      <c r="D35">
        <v>43000</v>
      </c>
      <c r="E35" t="s">
        <v>15</v>
      </c>
      <c r="F35">
        <v>230</v>
      </c>
      <c r="G35">
        <v>4</v>
      </c>
      <c r="H35" t="s">
        <v>16</v>
      </c>
      <c r="I35" t="s">
        <v>3</v>
      </c>
      <c r="J35">
        <v>14</v>
      </c>
    </row>
    <row r="36" spans="1:10" x14ac:dyDescent="0.35">
      <c r="A36">
        <v>35</v>
      </c>
      <c r="B36">
        <v>55</v>
      </c>
      <c r="C36" t="s">
        <v>18</v>
      </c>
      <c r="D36">
        <v>75000</v>
      </c>
      <c r="E36" t="s">
        <v>19</v>
      </c>
      <c r="F36">
        <v>640</v>
      </c>
      <c r="G36">
        <v>9.5</v>
      </c>
      <c r="H36" t="s">
        <v>20</v>
      </c>
      <c r="I36" t="s">
        <v>4</v>
      </c>
      <c r="J36">
        <v>28</v>
      </c>
    </row>
    <row r="37" spans="1:10" x14ac:dyDescent="0.35">
      <c r="A37">
        <v>36</v>
      </c>
      <c r="B37">
        <v>25</v>
      </c>
      <c r="C37" t="s">
        <v>14</v>
      </c>
      <c r="D37">
        <v>45000</v>
      </c>
      <c r="E37" t="s">
        <v>15</v>
      </c>
      <c r="F37">
        <v>200</v>
      </c>
      <c r="G37">
        <v>4.5</v>
      </c>
      <c r="H37" t="s">
        <v>16</v>
      </c>
      <c r="I37" t="s">
        <v>5</v>
      </c>
      <c r="J37">
        <v>12</v>
      </c>
    </row>
    <row r="38" spans="1:10" x14ac:dyDescent="0.35">
      <c r="A38">
        <v>37</v>
      </c>
      <c r="B38">
        <v>48</v>
      </c>
      <c r="C38" t="s">
        <v>18</v>
      </c>
      <c r="D38">
        <v>68000</v>
      </c>
      <c r="E38" t="s">
        <v>19</v>
      </c>
      <c r="F38">
        <v>550</v>
      </c>
      <c r="G38">
        <v>8.5</v>
      </c>
      <c r="H38" t="s">
        <v>20</v>
      </c>
      <c r="I38" t="s">
        <v>3</v>
      </c>
      <c r="J38">
        <v>24</v>
      </c>
    </row>
    <row r="39" spans="1:10" x14ac:dyDescent="0.35">
      <c r="A39">
        <v>38</v>
      </c>
      <c r="B39">
        <v>30</v>
      </c>
      <c r="C39" t="s">
        <v>14</v>
      </c>
      <c r="D39">
        <v>49000</v>
      </c>
      <c r="E39" t="s">
        <v>15</v>
      </c>
      <c r="F39">
        <v>300</v>
      </c>
      <c r="G39">
        <v>5</v>
      </c>
      <c r="H39" t="s">
        <v>17</v>
      </c>
      <c r="I39" t="s">
        <v>4</v>
      </c>
      <c r="J39">
        <v>17</v>
      </c>
    </row>
    <row r="40" spans="1:10" x14ac:dyDescent="0.35">
      <c r="A40">
        <v>39</v>
      </c>
      <c r="B40">
        <v>53</v>
      </c>
      <c r="C40" t="s">
        <v>18</v>
      </c>
      <c r="D40">
        <v>73000</v>
      </c>
      <c r="E40" t="s">
        <v>19</v>
      </c>
      <c r="F40">
        <v>620</v>
      </c>
      <c r="G40">
        <v>9.3000000000000007</v>
      </c>
      <c r="H40" t="s">
        <v>20</v>
      </c>
      <c r="I40" t="s">
        <v>5</v>
      </c>
      <c r="J40">
        <v>27</v>
      </c>
    </row>
    <row r="41" spans="1:10" x14ac:dyDescent="0.35">
      <c r="A41">
        <v>40</v>
      </c>
      <c r="B41">
        <v>28</v>
      </c>
      <c r="C41" t="s">
        <v>14</v>
      </c>
      <c r="D41">
        <v>46000</v>
      </c>
      <c r="E41" t="s">
        <v>15</v>
      </c>
      <c r="F41">
        <v>250</v>
      </c>
      <c r="G41">
        <v>4.2</v>
      </c>
      <c r="H41" t="s">
        <v>16</v>
      </c>
      <c r="I41" t="s">
        <v>3</v>
      </c>
      <c r="J41">
        <v>14</v>
      </c>
    </row>
    <row r="42" spans="1:10" x14ac:dyDescent="0.35">
      <c r="A42">
        <v>41</v>
      </c>
      <c r="B42">
        <v>39</v>
      </c>
      <c r="C42" t="s">
        <v>23</v>
      </c>
      <c r="D42">
        <v>57000</v>
      </c>
      <c r="E42" t="s">
        <v>15</v>
      </c>
      <c r="F42">
        <v>440</v>
      </c>
      <c r="G42">
        <v>7</v>
      </c>
      <c r="H42" t="s">
        <v>17</v>
      </c>
      <c r="I42" t="s">
        <v>4</v>
      </c>
      <c r="J42">
        <v>21</v>
      </c>
    </row>
    <row r="43" spans="1:10" x14ac:dyDescent="0.35">
      <c r="A43">
        <v>42</v>
      </c>
      <c r="B43">
        <v>37</v>
      </c>
      <c r="C43" t="s">
        <v>23</v>
      </c>
      <c r="D43">
        <v>58000</v>
      </c>
      <c r="E43" t="s">
        <v>15</v>
      </c>
      <c r="F43">
        <v>420</v>
      </c>
      <c r="G43">
        <v>6.8</v>
      </c>
      <c r="H43" t="s">
        <v>17</v>
      </c>
      <c r="I43" t="s">
        <v>5</v>
      </c>
      <c r="J43">
        <v>20</v>
      </c>
    </row>
    <row r="44" spans="1:10" x14ac:dyDescent="0.35">
      <c r="A44">
        <v>43</v>
      </c>
      <c r="B44">
        <v>46</v>
      </c>
      <c r="C44" t="s">
        <v>18</v>
      </c>
      <c r="D44">
        <v>66000</v>
      </c>
      <c r="E44" t="s">
        <v>19</v>
      </c>
      <c r="F44">
        <v>510</v>
      </c>
      <c r="G44">
        <v>8.1</v>
      </c>
      <c r="H44" t="s">
        <v>20</v>
      </c>
      <c r="I44" t="s">
        <v>3</v>
      </c>
      <c r="J44">
        <v>22</v>
      </c>
    </row>
    <row r="45" spans="1:10" x14ac:dyDescent="0.35">
      <c r="A45">
        <v>44</v>
      </c>
      <c r="B45">
        <v>33</v>
      </c>
      <c r="C45" t="s">
        <v>14</v>
      </c>
      <c r="D45">
        <v>53000</v>
      </c>
      <c r="E45" t="s">
        <v>15</v>
      </c>
      <c r="F45">
        <v>380</v>
      </c>
      <c r="G45">
        <v>6</v>
      </c>
      <c r="H45" t="s">
        <v>17</v>
      </c>
      <c r="I45" t="s">
        <v>4</v>
      </c>
      <c r="J45">
        <v>18</v>
      </c>
    </row>
    <row r="46" spans="1:10" x14ac:dyDescent="0.35">
      <c r="A46">
        <v>45</v>
      </c>
      <c r="B46">
        <v>52</v>
      </c>
      <c r="C46" t="s">
        <v>18</v>
      </c>
      <c r="D46">
        <v>72000</v>
      </c>
      <c r="E46" t="s">
        <v>19</v>
      </c>
      <c r="F46">
        <v>610</v>
      </c>
      <c r="G46">
        <v>9.1999999999999993</v>
      </c>
      <c r="H46" t="s">
        <v>20</v>
      </c>
      <c r="I46" t="s">
        <v>5</v>
      </c>
      <c r="J46">
        <v>26</v>
      </c>
    </row>
    <row r="47" spans="1:10" x14ac:dyDescent="0.35">
      <c r="A47">
        <v>46</v>
      </c>
      <c r="B47">
        <v>29</v>
      </c>
      <c r="C47" t="s">
        <v>14</v>
      </c>
      <c r="D47">
        <v>47000</v>
      </c>
      <c r="E47" t="s">
        <v>15</v>
      </c>
      <c r="F47">
        <v>220</v>
      </c>
      <c r="G47">
        <v>4.4000000000000004</v>
      </c>
      <c r="H47" t="s">
        <v>16</v>
      </c>
      <c r="I47" t="s">
        <v>3</v>
      </c>
      <c r="J47">
        <v>13</v>
      </c>
    </row>
    <row r="48" spans="1:10" x14ac:dyDescent="0.35">
      <c r="A48">
        <v>47</v>
      </c>
      <c r="B48">
        <v>41</v>
      </c>
      <c r="C48" t="s">
        <v>23</v>
      </c>
      <c r="D48">
        <v>61000</v>
      </c>
      <c r="E48" t="s">
        <v>19</v>
      </c>
      <c r="F48">
        <v>480</v>
      </c>
      <c r="G48">
        <v>7.8</v>
      </c>
      <c r="H48" t="s">
        <v>17</v>
      </c>
      <c r="I48" t="s">
        <v>4</v>
      </c>
      <c r="J48">
        <v>21</v>
      </c>
    </row>
    <row r="49" spans="1:10" x14ac:dyDescent="0.35">
      <c r="A49">
        <v>48</v>
      </c>
      <c r="B49">
        <v>50</v>
      </c>
      <c r="C49" t="s">
        <v>18</v>
      </c>
      <c r="D49">
        <v>70000</v>
      </c>
      <c r="E49" t="s">
        <v>19</v>
      </c>
      <c r="F49">
        <v>600</v>
      </c>
      <c r="G49">
        <v>9</v>
      </c>
      <c r="H49" t="s">
        <v>20</v>
      </c>
      <c r="I49" t="s">
        <v>5</v>
      </c>
      <c r="J49">
        <v>25</v>
      </c>
    </row>
    <row r="50" spans="1:10" x14ac:dyDescent="0.35">
      <c r="A50">
        <v>49</v>
      </c>
      <c r="B50">
        <v>36</v>
      </c>
      <c r="C50" t="s">
        <v>23</v>
      </c>
      <c r="D50">
        <v>54000</v>
      </c>
      <c r="E50" t="s">
        <v>15</v>
      </c>
      <c r="F50">
        <v>400</v>
      </c>
      <c r="G50">
        <v>6.5</v>
      </c>
      <c r="H50" t="s">
        <v>17</v>
      </c>
      <c r="I50" t="s">
        <v>3</v>
      </c>
      <c r="J50">
        <v>19</v>
      </c>
    </row>
    <row r="51" spans="1:10" x14ac:dyDescent="0.35">
      <c r="A51">
        <v>50</v>
      </c>
      <c r="B51">
        <v>24</v>
      </c>
      <c r="C51" t="s">
        <v>21</v>
      </c>
      <c r="D51">
        <v>32000</v>
      </c>
      <c r="E51" t="s">
        <v>22</v>
      </c>
      <c r="F51">
        <v>170</v>
      </c>
      <c r="G51">
        <v>3.3</v>
      </c>
      <c r="H51" t="s">
        <v>16</v>
      </c>
      <c r="I51" t="s">
        <v>4</v>
      </c>
      <c r="J51">
        <v>11</v>
      </c>
    </row>
    <row r="52" spans="1:10" x14ac:dyDescent="0.35">
      <c r="A52">
        <v>51</v>
      </c>
      <c r="B52">
        <v>49</v>
      </c>
      <c r="C52" t="s">
        <v>18</v>
      </c>
      <c r="D52">
        <v>69000</v>
      </c>
      <c r="E52" t="s">
        <v>19</v>
      </c>
      <c r="F52">
        <v>590</v>
      </c>
      <c r="G52">
        <v>8.9</v>
      </c>
      <c r="H52" t="s">
        <v>20</v>
      </c>
      <c r="I52" t="s">
        <v>5</v>
      </c>
      <c r="J52">
        <v>24</v>
      </c>
    </row>
    <row r="53" spans="1:10" x14ac:dyDescent="0.35">
      <c r="A53">
        <v>52</v>
      </c>
      <c r="B53">
        <v>26</v>
      </c>
      <c r="C53" t="s">
        <v>14</v>
      </c>
      <c r="D53">
        <v>44000</v>
      </c>
      <c r="E53" t="s">
        <v>15</v>
      </c>
      <c r="F53">
        <v>240</v>
      </c>
      <c r="G53">
        <v>4.3</v>
      </c>
      <c r="H53" t="s">
        <v>16</v>
      </c>
      <c r="I53" t="s">
        <v>3</v>
      </c>
      <c r="J53">
        <v>14</v>
      </c>
    </row>
    <row r="54" spans="1:10" x14ac:dyDescent="0.35">
      <c r="A54">
        <v>53</v>
      </c>
      <c r="B54">
        <v>45</v>
      </c>
      <c r="C54" t="s">
        <v>18</v>
      </c>
      <c r="D54">
        <v>65000</v>
      </c>
      <c r="E54" t="s">
        <v>19</v>
      </c>
      <c r="F54">
        <v>500</v>
      </c>
      <c r="G54">
        <v>8</v>
      </c>
      <c r="H54" t="s">
        <v>20</v>
      </c>
      <c r="I54" t="s">
        <v>4</v>
      </c>
      <c r="J54">
        <v>22</v>
      </c>
    </row>
    <row r="55" spans="1:10" x14ac:dyDescent="0.35">
      <c r="A55">
        <v>54</v>
      </c>
      <c r="B55">
        <v>40</v>
      </c>
      <c r="C55" t="s">
        <v>23</v>
      </c>
      <c r="D55">
        <v>60000</v>
      </c>
      <c r="E55" t="s">
        <v>19</v>
      </c>
      <c r="F55">
        <v>450</v>
      </c>
      <c r="G55">
        <v>7.2</v>
      </c>
      <c r="H55" t="s">
        <v>17</v>
      </c>
      <c r="I55" t="s">
        <v>5</v>
      </c>
      <c r="J55">
        <v>20</v>
      </c>
    </row>
    <row r="56" spans="1:10" x14ac:dyDescent="0.35">
      <c r="A56">
        <v>55</v>
      </c>
      <c r="B56">
        <v>38</v>
      </c>
      <c r="C56" t="s">
        <v>23</v>
      </c>
      <c r="D56">
        <v>59000</v>
      </c>
      <c r="E56" t="s">
        <v>15</v>
      </c>
      <c r="F56">
        <v>430</v>
      </c>
      <c r="G56">
        <v>6.9</v>
      </c>
      <c r="H56" t="s">
        <v>17</v>
      </c>
      <c r="I56" t="s">
        <v>3</v>
      </c>
      <c r="J56">
        <v>20</v>
      </c>
    </row>
    <row r="57" spans="1:10" x14ac:dyDescent="0.35">
      <c r="A57">
        <v>56</v>
      </c>
      <c r="B57">
        <v>54</v>
      </c>
      <c r="C57" t="s">
        <v>18</v>
      </c>
      <c r="D57">
        <v>74000</v>
      </c>
      <c r="E57" t="s">
        <v>19</v>
      </c>
      <c r="F57">
        <v>630</v>
      </c>
      <c r="G57">
        <v>9.4</v>
      </c>
      <c r="H57" t="s">
        <v>20</v>
      </c>
      <c r="I57" t="s">
        <v>4</v>
      </c>
      <c r="J57">
        <v>27</v>
      </c>
    </row>
    <row r="58" spans="1:10" x14ac:dyDescent="0.35">
      <c r="A58">
        <v>57</v>
      </c>
      <c r="B58">
        <v>32</v>
      </c>
      <c r="C58" t="s">
        <v>14</v>
      </c>
      <c r="D58">
        <v>52000</v>
      </c>
      <c r="E58" t="s">
        <v>15</v>
      </c>
      <c r="F58">
        <v>360</v>
      </c>
      <c r="G58">
        <v>5.8</v>
      </c>
      <c r="H58" t="s">
        <v>17</v>
      </c>
      <c r="I58" t="s">
        <v>5</v>
      </c>
      <c r="J58">
        <v>18</v>
      </c>
    </row>
    <row r="59" spans="1:10" x14ac:dyDescent="0.35">
      <c r="A59">
        <v>58</v>
      </c>
      <c r="B59">
        <v>31</v>
      </c>
      <c r="C59" t="s">
        <v>14</v>
      </c>
      <c r="D59">
        <v>51000</v>
      </c>
      <c r="E59" t="s">
        <v>15</v>
      </c>
      <c r="F59">
        <v>340</v>
      </c>
      <c r="G59">
        <v>5.6</v>
      </c>
      <c r="H59" t="s">
        <v>17</v>
      </c>
      <c r="I59" t="s">
        <v>3</v>
      </c>
      <c r="J59">
        <v>17</v>
      </c>
    </row>
    <row r="60" spans="1:10" x14ac:dyDescent="0.35">
      <c r="A60">
        <v>59</v>
      </c>
      <c r="B60">
        <v>42</v>
      </c>
      <c r="C60" t="s">
        <v>23</v>
      </c>
      <c r="D60">
        <v>62000</v>
      </c>
      <c r="E60" t="s">
        <v>19</v>
      </c>
      <c r="F60">
        <v>520</v>
      </c>
      <c r="G60">
        <v>8.1999999999999993</v>
      </c>
      <c r="H60" t="s">
        <v>20</v>
      </c>
      <c r="I60" t="s">
        <v>4</v>
      </c>
      <c r="J60">
        <v>23</v>
      </c>
    </row>
    <row r="61" spans="1:10" x14ac:dyDescent="0.35">
      <c r="A61">
        <v>60</v>
      </c>
      <c r="B61">
        <v>55</v>
      </c>
      <c r="C61" t="s">
        <v>18</v>
      </c>
      <c r="D61">
        <v>75000</v>
      </c>
      <c r="E61" t="s">
        <v>19</v>
      </c>
      <c r="F61">
        <v>640</v>
      </c>
      <c r="G61">
        <v>9.5</v>
      </c>
      <c r="H61" t="s">
        <v>20</v>
      </c>
      <c r="I61" t="s">
        <v>5</v>
      </c>
      <c r="J61">
        <v>28</v>
      </c>
    </row>
    <row r="62" spans="1:10" x14ac:dyDescent="0.35">
      <c r="A62">
        <v>61</v>
      </c>
      <c r="B62">
        <v>29</v>
      </c>
      <c r="C62" t="s">
        <v>14</v>
      </c>
      <c r="D62">
        <v>46000</v>
      </c>
      <c r="E62" t="s">
        <v>15</v>
      </c>
      <c r="F62">
        <v>270</v>
      </c>
      <c r="G62">
        <v>4.3</v>
      </c>
      <c r="H62" t="s">
        <v>16</v>
      </c>
      <c r="I62" t="s">
        <v>3</v>
      </c>
      <c r="J62">
        <v>15</v>
      </c>
    </row>
    <row r="63" spans="1:10" x14ac:dyDescent="0.35">
      <c r="A63">
        <v>62</v>
      </c>
      <c r="B63">
        <v>33</v>
      </c>
      <c r="C63" t="s">
        <v>14</v>
      </c>
      <c r="D63">
        <v>53000</v>
      </c>
      <c r="E63" t="s">
        <v>15</v>
      </c>
      <c r="F63">
        <v>380</v>
      </c>
      <c r="G63">
        <v>6</v>
      </c>
      <c r="H63" t="s">
        <v>17</v>
      </c>
      <c r="I63" t="s">
        <v>4</v>
      </c>
      <c r="J63">
        <v>18</v>
      </c>
    </row>
    <row r="64" spans="1:10" x14ac:dyDescent="0.35">
      <c r="A64">
        <v>63</v>
      </c>
      <c r="B64">
        <v>51</v>
      </c>
      <c r="C64" t="s">
        <v>18</v>
      </c>
      <c r="D64">
        <v>71000</v>
      </c>
      <c r="E64" t="s">
        <v>19</v>
      </c>
      <c r="F64">
        <v>600</v>
      </c>
      <c r="G64">
        <v>9</v>
      </c>
      <c r="H64" t="s">
        <v>20</v>
      </c>
      <c r="I64" t="s">
        <v>5</v>
      </c>
      <c r="J64">
        <v>25</v>
      </c>
    </row>
    <row r="65" spans="1:10" x14ac:dyDescent="0.35">
      <c r="A65">
        <v>64</v>
      </c>
      <c r="B65">
        <v>27</v>
      </c>
      <c r="C65" t="s">
        <v>14</v>
      </c>
      <c r="D65">
        <v>43000</v>
      </c>
      <c r="E65" t="s">
        <v>15</v>
      </c>
      <c r="F65">
        <v>230</v>
      </c>
      <c r="G65">
        <v>4</v>
      </c>
      <c r="H65" t="s">
        <v>16</v>
      </c>
      <c r="I65" t="s">
        <v>3</v>
      </c>
      <c r="J65">
        <v>14</v>
      </c>
    </row>
    <row r="66" spans="1:10" x14ac:dyDescent="0.35">
      <c r="A66">
        <v>65</v>
      </c>
      <c r="B66">
        <v>43</v>
      </c>
      <c r="C66" t="s">
        <v>23</v>
      </c>
      <c r="D66">
        <v>63000</v>
      </c>
      <c r="E66" t="s">
        <v>19</v>
      </c>
      <c r="F66">
        <v>470</v>
      </c>
      <c r="G66">
        <v>7.8</v>
      </c>
      <c r="H66" t="s">
        <v>17</v>
      </c>
      <c r="I66" t="s">
        <v>4</v>
      </c>
      <c r="J66">
        <v>21</v>
      </c>
    </row>
    <row r="67" spans="1:10" x14ac:dyDescent="0.35">
      <c r="A67">
        <v>66</v>
      </c>
      <c r="B67">
        <v>41</v>
      </c>
      <c r="C67" t="s">
        <v>23</v>
      </c>
      <c r="D67">
        <v>61000</v>
      </c>
      <c r="E67" t="s">
        <v>19</v>
      </c>
      <c r="F67">
        <v>480</v>
      </c>
      <c r="G67">
        <v>7.7</v>
      </c>
      <c r="H67" t="s">
        <v>17</v>
      </c>
      <c r="I67" t="s">
        <v>5</v>
      </c>
      <c r="J67">
        <v>22</v>
      </c>
    </row>
    <row r="68" spans="1:10" x14ac:dyDescent="0.35">
      <c r="A68">
        <v>67</v>
      </c>
      <c r="B68">
        <v>50</v>
      </c>
      <c r="C68" t="s">
        <v>18</v>
      </c>
      <c r="D68">
        <v>70000</v>
      </c>
      <c r="E68" t="s">
        <v>19</v>
      </c>
      <c r="F68">
        <v>600</v>
      </c>
      <c r="G68">
        <v>9</v>
      </c>
      <c r="H68" t="s">
        <v>20</v>
      </c>
      <c r="I68" t="s">
        <v>3</v>
      </c>
      <c r="J68">
        <v>25</v>
      </c>
    </row>
    <row r="69" spans="1:10" x14ac:dyDescent="0.35">
      <c r="A69">
        <v>68</v>
      </c>
      <c r="B69">
        <v>24</v>
      </c>
      <c r="C69" t="s">
        <v>21</v>
      </c>
      <c r="D69">
        <v>32000</v>
      </c>
      <c r="E69" t="s">
        <v>22</v>
      </c>
      <c r="F69">
        <v>170</v>
      </c>
      <c r="G69">
        <v>3.3</v>
      </c>
      <c r="H69" t="s">
        <v>16</v>
      </c>
      <c r="I69" t="s">
        <v>4</v>
      </c>
      <c r="J69">
        <v>11</v>
      </c>
    </row>
    <row r="70" spans="1:10" x14ac:dyDescent="0.35">
      <c r="A70">
        <v>69</v>
      </c>
      <c r="B70">
        <v>48</v>
      </c>
      <c r="C70" t="s">
        <v>18</v>
      </c>
      <c r="D70">
        <v>68000</v>
      </c>
      <c r="E70" t="s">
        <v>19</v>
      </c>
      <c r="F70">
        <v>550</v>
      </c>
      <c r="G70">
        <v>8.5</v>
      </c>
      <c r="H70" t="s">
        <v>20</v>
      </c>
      <c r="I70" t="s">
        <v>5</v>
      </c>
      <c r="J70">
        <v>24</v>
      </c>
    </row>
    <row r="71" spans="1:10" x14ac:dyDescent="0.35">
      <c r="A71">
        <v>70</v>
      </c>
      <c r="B71">
        <v>30</v>
      </c>
      <c r="C71" t="s">
        <v>14</v>
      </c>
      <c r="D71">
        <v>49000</v>
      </c>
      <c r="E71" t="s">
        <v>15</v>
      </c>
      <c r="F71">
        <v>300</v>
      </c>
      <c r="G71">
        <v>5</v>
      </c>
      <c r="H71" t="s">
        <v>17</v>
      </c>
      <c r="I71" t="s">
        <v>3</v>
      </c>
      <c r="J71">
        <v>16</v>
      </c>
    </row>
    <row r="72" spans="1:10" x14ac:dyDescent="0.35">
      <c r="A72">
        <v>71</v>
      </c>
      <c r="B72">
        <v>39</v>
      </c>
      <c r="C72" t="s">
        <v>23</v>
      </c>
      <c r="D72">
        <v>57000</v>
      </c>
      <c r="E72" t="s">
        <v>15</v>
      </c>
      <c r="F72">
        <v>440</v>
      </c>
      <c r="G72">
        <v>7</v>
      </c>
      <c r="H72" t="s">
        <v>17</v>
      </c>
      <c r="I72" t="s">
        <v>4</v>
      </c>
      <c r="J72">
        <v>21</v>
      </c>
    </row>
    <row r="73" spans="1:10" x14ac:dyDescent="0.35">
      <c r="A73">
        <v>72</v>
      </c>
      <c r="B73">
        <v>37</v>
      </c>
      <c r="C73" t="s">
        <v>23</v>
      </c>
      <c r="D73">
        <v>58000</v>
      </c>
      <c r="E73" t="s">
        <v>15</v>
      </c>
      <c r="F73">
        <v>420</v>
      </c>
      <c r="G73">
        <v>6.8</v>
      </c>
      <c r="H73" t="s">
        <v>17</v>
      </c>
      <c r="I73" t="s">
        <v>5</v>
      </c>
      <c r="J73">
        <v>20</v>
      </c>
    </row>
    <row r="74" spans="1:10" x14ac:dyDescent="0.35">
      <c r="A74">
        <v>73</v>
      </c>
      <c r="B74">
        <v>46</v>
      </c>
      <c r="C74" t="s">
        <v>18</v>
      </c>
      <c r="D74">
        <v>66000</v>
      </c>
      <c r="E74" t="s">
        <v>19</v>
      </c>
      <c r="F74">
        <v>510</v>
      </c>
      <c r="G74">
        <v>8.1</v>
      </c>
      <c r="H74" t="s">
        <v>20</v>
      </c>
      <c r="I74" t="s">
        <v>3</v>
      </c>
      <c r="J74">
        <v>22</v>
      </c>
    </row>
    <row r="75" spans="1:10" x14ac:dyDescent="0.35">
      <c r="A75">
        <v>74</v>
      </c>
      <c r="B75">
        <v>33</v>
      </c>
      <c r="C75" t="s">
        <v>14</v>
      </c>
      <c r="D75">
        <v>53000</v>
      </c>
      <c r="E75" t="s">
        <v>15</v>
      </c>
      <c r="F75">
        <v>380</v>
      </c>
      <c r="G75">
        <v>6</v>
      </c>
      <c r="H75" t="s">
        <v>17</v>
      </c>
      <c r="I75" t="s">
        <v>4</v>
      </c>
      <c r="J75">
        <v>18</v>
      </c>
    </row>
    <row r="76" spans="1:10" x14ac:dyDescent="0.35">
      <c r="A76">
        <v>75</v>
      </c>
      <c r="B76">
        <v>52</v>
      </c>
      <c r="C76" t="s">
        <v>18</v>
      </c>
      <c r="D76">
        <v>72000</v>
      </c>
      <c r="E76" t="s">
        <v>19</v>
      </c>
      <c r="F76">
        <v>610</v>
      </c>
      <c r="G76">
        <v>9.1999999999999993</v>
      </c>
      <c r="H76" t="s">
        <v>20</v>
      </c>
      <c r="I76" t="s">
        <v>5</v>
      </c>
      <c r="J76">
        <v>26</v>
      </c>
    </row>
    <row r="77" spans="1:10" x14ac:dyDescent="0.35">
      <c r="A77">
        <v>76</v>
      </c>
      <c r="B77">
        <v>28</v>
      </c>
      <c r="C77" t="s">
        <v>14</v>
      </c>
      <c r="D77">
        <v>46000</v>
      </c>
      <c r="E77" t="s">
        <v>15</v>
      </c>
      <c r="F77">
        <v>250</v>
      </c>
      <c r="G77">
        <v>4.2</v>
      </c>
      <c r="H77" t="s">
        <v>16</v>
      </c>
      <c r="I77" t="s">
        <v>3</v>
      </c>
      <c r="J77">
        <v>14</v>
      </c>
    </row>
    <row r="78" spans="1:10" x14ac:dyDescent="0.35">
      <c r="A78">
        <v>77</v>
      </c>
      <c r="B78">
        <v>41</v>
      </c>
      <c r="C78" t="s">
        <v>23</v>
      </c>
      <c r="D78">
        <v>61000</v>
      </c>
      <c r="E78" t="s">
        <v>19</v>
      </c>
      <c r="F78">
        <v>480</v>
      </c>
      <c r="G78">
        <v>7.8</v>
      </c>
      <c r="H78" t="s">
        <v>17</v>
      </c>
      <c r="I78" t="s">
        <v>4</v>
      </c>
      <c r="J78">
        <v>21</v>
      </c>
    </row>
    <row r="79" spans="1:10" x14ac:dyDescent="0.35">
      <c r="A79">
        <v>78</v>
      </c>
      <c r="B79">
        <v>50</v>
      </c>
      <c r="C79" t="s">
        <v>18</v>
      </c>
      <c r="D79">
        <v>70000</v>
      </c>
      <c r="E79" t="s">
        <v>19</v>
      </c>
      <c r="F79">
        <v>600</v>
      </c>
      <c r="G79">
        <v>9</v>
      </c>
      <c r="H79" t="s">
        <v>20</v>
      </c>
      <c r="I79" t="s">
        <v>5</v>
      </c>
      <c r="J79">
        <v>25</v>
      </c>
    </row>
    <row r="80" spans="1:10" x14ac:dyDescent="0.35">
      <c r="A80">
        <v>79</v>
      </c>
      <c r="B80">
        <v>36</v>
      </c>
      <c r="C80" t="s">
        <v>23</v>
      </c>
      <c r="D80">
        <v>54000</v>
      </c>
      <c r="E80" t="s">
        <v>15</v>
      </c>
      <c r="F80">
        <v>400</v>
      </c>
      <c r="G80">
        <v>6.5</v>
      </c>
      <c r="H80" t="s">
        <v>17</v>
      </c>
      <c r="I80" t="s">
        <v>3</v>
      </c>
      <c r="J80">
        <v>19</v>
      </c>
    </row>
    <row r="81" spans="1:10" x14ac:dyDescent="0.35">
      <c r="A81">
        <v>80</v>
      </c>
      <c r="B81">
        <v>24</v>
      </c>
      <c r="C81" t="s">
        <v>21</v>
      </c>
      <c r="D81">
        <v>32000</v>
      </c>
      <c r="E81" t="s">
        <v>22</v>
      </c>
      <c r="F81">
        <v>170</v>
      </c>
      <c r="G81">
        <v>3.3</v>
      </c>
      <c r="H81" t="s">
        <v>16</v>
      </c>
      <c r="I81" t="s">
        <v>4</v>
      </c>
      <c r="J81">
        <v>11</v>
      </c>
    </row>
    <row r="82" spans="1:10" x14ac:dyDescent="0.35">
      <c r="A82">
        <v>81</v>
      </c>
      <c r="B82">
        <v>49</v>
      </c>
      <c r="C82" t="s">
        <v>18</v>
      </c>
      <c r="D82">
        <v>69000</v>
      </c>
      <c r="E82" t="s">
        <v>19</v>
      </c>
      <c r="F82">
        <v>590</v>
      </c>
      <c r="G82">
        <v>8.9</v>
      </c>
      <c r="H82" t="s">
        <v>20</v>
      </c>
      <c r="I82" t="s">
        <v>5</v>
      </c>
      <c r="J82">
        <v>24</v>
      </c>
    </row>
    <row r="83" spans="1:10" x14ac:dyDescent="0.35">
      <c r="A83">
        <v>82</v>
      </c>
      <c r="B83">
        <v>26</v>
      </c>
      <c r="C83" t="s">
        <v>14</v>
      </c>
      <c r="D83">
        <v>44000</v>
      </c>
      <c r="E83" t="s">
        <v>15</v>
      </c>
      <c r="F83">
        <v>240</v>
      </c>
      <c r="G83">
        <v>4.3</v>
      </c>
      <c r="H83" t="s">
        <v>16</v>
      </c>
      <c r="I83" t="s">
        <v>3</v>
      </c>
      <c r="J83">
        <v>14</v>
      </c>
    </row>
    <row r="84" spans="1:10" x14ac:dyDescent="0.35">
      <c r="A84">
        <v>83</v>
      </c>
      <c r="B84">
        <v>45</v>
      </c>
      <c r="C84" t="s">
        <v>18</v>
      </c>
      <c r="D84">
        <v>65000</v>
      </c>
      <c r="E84" t="s">
        <v>19</v>
      </c>
      <c r="F84">
        <v>500</v>
      </c>
      <c r="G84">
        <v>8</v>
      </c>
      <c r="H84" t="s">
        <v>20</v>
      </c>
      <c r="I84" t="s">
        <v>4</v>
      </c>
      <c r="J84">
        <v>22</v>
      </c>
    </row>
    <row r="85" spans="1:10" x14ac:dyDescent="0.35">
      <c r="A85">
        <v>84</v>
      </c>
      <c r="B85">
        <v>40</v>
      </c>
      <c r="C85" t="s">
        <v>23</v>
      </c>
      <c r="D85">
        <v>60000</v>
      </c>
      <c r="E85" t="s">
        <v>19</v>
      </c>
      <c r="F85">
        <v>450</v>
      </c>
      <c r="G85">
        <v>7.2</v>
      </c>
      <c r="H85" t="s">
        <v>17</v>
      </c>
      <c r="I85" t="s">
        <v>5</v>
      </c>
      <c r="J85">
        <v>20</v>
      </c>
    </row>
    <row r="86" spans="1:10" x14ac:dyDescent="0.35">
      <c r="A86">
        <v>85</v>
      </c>
      <c r="B86">
        <v>38</v>
      </c>
      <c r="C86" t="s">
        <v>23</v>
      </c>
      <c r="D86">
        <v>59000</v>
      </c>
      <c r="E86" t="s">
        <v>15</v>
      </c>
      <c r="F86">
        <v>430</v>
      </c>
      <c r="G86">
        <v>6.9</v>
      </c>
      <c r="H86" t="s">
        <v>17</v>
      </c>
      <c r="I86" t="s">
        <v>3</v>
      </c>
      <c r="J86">
        <v>20</v>
      </c>
    </row>
    <row r="87" spans="1:10" x14ac:dyDescent="0.35">
      <c r="A87">
        <v>86</v>
      </c>
      <c r="B87">
        <v>54</v>
      </c>
      <c r="C87" t="s">
        <v>18</v>
      </c>
      <c r="D87">
        <v>74000</v>
      </c>
      <c r="E87" t="s">
        <v>19</v>
      </c>
      <c r="F87">
        <v>630</v>
      </c>
      <c r="G87">
        <v>9.4</v>
      </c>
      <c r="H87" t="s">
        <v>20</v>
      </c>
      <c r="I87" t="s">
        <v>4</v>
      </c>
      <c r="J87">
        <v>27</v>
      </c>
    </row>
    <row r="88" spans="1:10" x14ac:dyDescent="0.35">
      <c r="A88">
        <v>87</v>
      </c>
      <c r="B88">
        <v>32</v>
      </c>
      <c r="C88" t="s">
        <v>14</v>
      </c>
      <c r="D88">
        <v>52000</v>
      </c>
      <c r="E88" t="s">
        <v>15</v>
      </c>
      <c r="F88">
        <v>360</v>
      </c>
      <c r="G88">
        <v>5.8</v>
      </c>
      <c r="H88" t="s">
        <v>17</v>
      </c>
      <c r="I88" t="s">
        <v>5</v>
      </c>
      <c r="J88">
        <v>18</v>
      </c>
    </row>
    <row r="89" spans="1:10" x14ac:dyDescent="0.35">
      <c r="A89">
        <v>88</v>
      </c>
      <c r="B89">
        <v>31</v>
      </c>
      <c r="C89" t="s">
        <v>14</v>
      </c>
      <c r="D89">
        <v>51000</v>
      </c>
      <c r="E89" t="s">
        <v>15</v>
      </c>
      <c r="F89">
        <v>340</v>
      </c>
      <c r="G89">
        <v>5.6</v>
      </c>
      <c r="H89" t="s">
        <v>17</v>
      </c>
      <c r="I89" t="s">
        <v>3</v>
      </c>
      <c r="J89">
        <v>17</v>
      </c>
    </row>
    <row r="90" spans="1:10" x14ac:dyDescent="0.35">
      <c r="A90">
        <v>89</v>
      </c>
      <c r="B90">
        <v>42</v>
      </c>
      <c r="C90" t="s">
        <v>23</v>
      </c>
      <c r="D90">
        <v>62000</v>
      </c>
      <c r="E90" t="s">
        <v>19</v>
      </c>
      <c r="F90">
        <v>520</v>
      </c>
      <c r="G90">
        <v>8.1999999999999993</v>
      </c>
      <c r="H90" t="s">
        <v>20</v>
      </c>
      <c r="I90" t="s">
        <v>4</v>
      </c>
      <c r="J90">
        <v>23</v>
      </c>
    </row>
    <row r="91" spans="1:10" x14ac:dyDescent="0.35">
      <c r="A91">
        <v>90</v>
      </c>
      <c r="B91">
        <v>55</v>
      </c>
      <c r="C91" t="s">
        <v>18</v>
      </c>
      <c r="D91">
        <v>75000</v>
      </c>
      <c r="E91" t="s">
        <v>19</v>
      </c>
      <c r="F91">
        <v>640</v>
      </c>
      <c r="G91">
        <v>9.5</v>
      </c>
      <c r="H91" t="s">
        <v>20</v>
      </c>
      <c r="I91" t="s">
        <v>5</v>
      </c>
      <c r="J91">
        <v>28</v>
      </c>
    </row>
    <row r="92" spans="1:10" x14ac:dyDescent="0.35">
      <c r="A92">
        <v>91</v>
      </c>
      <c r="B92">
        <v>29</v>
      </c>
      <c r="C92" t="s">
        <v>14</v>
      </c>
      <c r="D92">
        <v>46000</v>
      </c>
      <c r="E92" t="s">
        <v>15</v>
      </c>
      <c r="F92">
        <v>270</v>
      </c>
      <c r="G92">
        <v>4.3</v>
      </c>
      <c r="H92" t="s">
        <v>16</v>
      </c>
      <c r="I92" t="s">
        <v>3</v>
      </c>
      <c r="J92">
        <v>15</v>
      </c>
    </row>
    <row r="93" spans="1:10" x14ac:dyDescent="0.35">
      <c r="A93">
        <v>92</v>
      </c>
      <c r="B93">
        <v>33</v>
      </c>
      <c r="C93" t="s">
        <v>14</v>
      </c>
      <c r="D93">
        <v>53000</v>
      </c>
      <c r="E93" t="s">
        <v>15</v>
      </c>
      <c r="F93">
        <v>380</v>
      </c>
      <c r="G93">
        <v>6</v>
      </c>
      <c r="H93" t="s">
        <v>17</v>
      </c>
      <c r="I93" t="s">
        <v>4</v>
      </c>
      <c r="J93">
        <v>18</v>
      </c>
    </row>
    <row r="94" spans="1:10" x14ac:dyDescent="0.35">
      <c r="A94">
        <v>93</v>
      </c>
      <c r="B94">
        <v>51</v>
      </c>
      <c r="C94" t="s">
        <v>18</v>
      </c>
      <c r="D94">
        <v>71000</v>
      </c>
      <c r="E94" t="s">
        <v>19</v>
      </c>
      <c r="F94">
        <v>600</v>
      </c>
      <c r="G94">
        <v>9</v>
      </c>
      <c r="H94" t="s">
        <v>20</v>
      </c>
      <c r="I94" t="s">
        <v>5</v>
      </c>
      <c r="J94">
        <v>25</v>
      </c>
    </row>
    <row r="95" spans="1:10" x14ac:dyDescent="0.35">
      <c r="A95">
        <v>94</v>
      </c>
      <c r="B95">
        <v>27</v>
      </c>
      <c r="C95" t="s">
        <v>14</v>
      </c>
      <c r="D95">
        <v>43000</v>
      </c>
      <c r="E95" t="s">
        <v>15</v>
      </c>
      <c r="F95">
        <v>230</v>
      </c>
      <c r="G95">
        <v>4</v>
      </c>
      <c r="H95" t="s">
        <v>16</v>
      </c>
      <c r="I95" t="s">
        <v>3</v>
      </c>
      <c r="J95">
        <v>14</v>
      </c>
    </row>
    <row r="96" spans="1:10" x14ac:dyDescent="0.35">
      <c r="A96">
        <v>95</v>
      </c>
      <c r="B96">
        <v>43</v>
      </c>
      <c r="C96" t="s">
        <v>23</v>
      </c>
      <c r="D96">
        <v>63000</v>
      </c>
      <c r="E96" t="s">
        <v>19</v>
      </c>
      <c r="F96">
        <v>470</v>
      </c>
      <c r="G96">
        <v>7.8</v>
      </c>
      <c r="H96" t="s">
        <v>17</v>
      </c>
      <c r="I96" t="s">
        <v>4</v>
      </c>
      <c r="J96">
        <v>21</v>
      </c>
    </row>
    <row r="97" spans="1:10" x14ac:dyDescent="0.35">
      <c r="A97">
        <v>96</v>
      </c>
      <c r="B97">
        <v>41</v>
      </c>
      <c r="C97" t="s">
        <v>23</v>
      </c>
      <c r="D97">
        <v>61000</v>
      </c>
      <c r="E97" t="s">
        <v>19</v>
      </c>
      <c r="F97">
        <v>480</v>
      </c>
      <c r="G97">
        <v>7.7</v>
      </c>
      <c r="H97" t="s">
        <v>17</v>
      </c>
      <c r="I97" t="s">
        <v>5</v>
      </c>
      <c r="J97">
        <v>22</v>
      </c>
    </row>
    <row r="98" spans="1:10" x14ac:dyDescent="0.35">
      <c r="A98">
        <v>97</v>
      </c>
      <c r="B98">
        <v>50</v>
      </c>
      <c r="C98" t="s">
        <v>18</v>
      </c>
      <c r="D98">
        <v>70000</v>
      </c>
      <c r="E98" t="s">
        <v>19</v>
      </c>
      <c r="F98">
        <v>600</v>
      </c>
      <c r="G98">
        <v>9</v>
      </c>
      <c r="H98" t="s">
        <v>20</v>
      </c>
      <c r="I98" t="s">
        <v>3</v>
      </c>
      <c r="J98">
        <v>25</v>
      </c>
    </row>
    <row r="99" spans="1:10" x14ac:dyDescent="0.35">
      <c r="A99">
        <v>98</v>
      </c>
      <c r="B99">
        <v>24</v>
      </c>
      <c r="C99" t="s">
        <v>21</v>
      </c>
      <c r="D99">
        <v>32000</v>
      </c>
      <c r="E99" t="s">
        <v>22</v>
      </c>
      <c r="F99">
        <v>170</v>
      </c>
      <c r="G99">
        <v>3.3</v>
      </c>
      <c r="H99" t="s">
        <v>16</v>
      </c>
      <c r="I99" t="s">
        <v>4</v>
      </c>
      <c r="J99">
        <v>11</v>
      </c>
    </row>
    <row r="100" spans="1:10" x14ac:dyDescent="0.35">
      <c r="A100">
        <v>99</v>
      </c>
      <c r="B100">
        <v>48</v>
      </c>
      <c r="C100" t="s">
        <v>18</v>
      </c>
      <c r="D100">
        <v>68000</v>
      </c>
      <c r="E100" t="s">
        <v>19</v>
      </c>
      <c r="F100">
        <v>550</v>
      </c>
      <c r="G100">
        <v>8.5</v>
      </c>
      <c r="H100" t="s">
        <v>20</v>
      </c>
      <c r="I100" t="s">
        <v>5</v>
      </c>
      <c r="J100">
        <v>24</v>
      </c>
    </row>
    <row r="101" spans="1:10" x14ac:dyDescent="0.35">
      <c r="A101">
        <v>100</v>
      </c>
      <c r="B101">
        <v>30</v>
      </c>
      <c r="C101" t="s">
        <v>14</v>
      </c>
      <c r="D101">
        <v>49000</v>
      </c>
      <c r="E101" t="s">
        <v>15</v>
      </c>
      <c r="F101">
        <v>300</v>
      </c>
      <c r="G101">
        <v>5</v>
      </c>
      <c r="H101" t="s">
        <v>17</v>
      </c>
      <c r="I101" t="s">
        <v>3</v>
      </c>
      <c r="J101">
        <v>16</v>
      </c>
    </row>
    <row r="102" spans="1:10" x14ac:dyDescent="0.35">
      <c r="A102">
        <v>101</v>
      </c>
      <c r="B102">
        <v>39</v>
      </c>
      <c r="C102" t="s">
        <v>23</v>
      </c>
      <c r="D102">
        <v>57000</v>
      </c>
      <c r="E102" t="s">
        <v>15</v>
      </c>
      <c r="F102">
        <v>440</v>
      </c>
      <c r="G102">
        <v>7</v>
      </c>
      <c r="H102" t="s">
        <v>17</v>
      </c>
      <c r="I102" t="s">
        <v>4</v>
      </c>
      <c r="J102">
        <v>21</v>
      </c>
    </row>
    <row r="103" spans="1:10" x14ac:dyDescent="0.35">
      <c r="A103">
        <v>102</v>
      </c>
      <c r="B103">
        <v>37</v>
      </c>
      <c r="C103" t="s">
        <v>23</v>
      </c>
      <c r="D103">
        <v>58000</v>
      </c>
      <c r="E103" t="s">
        <v>15</v>
      </c>
      <c r="F103">
        <v>420</v>
      </c>
      <c r="G103">
        <v>6.8</v>
      </c>
      <c r="H103" t="s">
        <v>17</v>
      </c>
      <c r="I103" t="s">
        <v>5</v>
      </c>
      <c r="J103">
        <v>20</v>
      </c>
    </row>
    <row r="104" spans="1:10" x14ac:dyDescent="0.35">
      <c r="A104">
        <v>103</v>
      </c>
      <c r="B104">
        <v>46</v>
      </c>
      <c r="C104" t="s">
        <v>18</v>
      </c>
      <c r="D104">
        <v>66000</v>
      </c>
      <c r="E104" t="s">
        <v>19</v>
      </c>
      <c r="F104">
        <v>510</v>
      </c>
      <c r="G104">
        <v>8.1</v>
      </c>
      <c r="H104" t="s">
        <v>20</v>
      </c>
      <c r="I104" t="s">
        <v>3</v>
      </c>
      <c r="J104">
        <v>22</v>
      </c>
    </row>
    <row r="105" spans="1:10" x14ac:dyDescent="0.35">
      <c r="A105">
        <v>104</v>
      </c>
      <c r="B105">
        <v>33</v>
      </c>
      <c r="C105" t="s">
        <v>14</v>
      </c>
      <c r="D105">
        <v>53000</v>
      </c>
      <c r="E105" t="s">
        <v>15</v>
      </c>
      <c r="F105">
        <v>380</v>
      </c>
      <c r="G105">
        <v>6</v>
      </c>
      <c r="H105" t="s">
        <v>17</v>
      </c>
      <c r="I105" t="s">
        <v>4</v>
      </c>
      <c r="J105">
        <v>18</v>
      </c>
    </row>
    <row r="106" spans="1:10" x14ac:dyDescent="0.35">
      <c r="A106">
        <v>105</v>
      </c>
      <c r="B106">
        <v>52</v>
      </c>
      <c r="C106" t="s">
        <v>18</v>
      </c>
      <c r="D106">
        <v>72000</v>
      </c>
      <c r="E106" t="s">
        <v>19</v>
      </c>
      <c r="F106">
        <v>610</v>
      </c>
      <c r="G106">
        <v>9.1999999999999993</v>
      </c>
      <c r="H106" t="s">
        <v>20</v>
      </c>
      <c r="I106" t="s">
        <v>5</v>
      </c>
      <c r="J106">
        <v>26</v>
      </c>
    </row>
    <row r="107" spans="1:10" x14ac:dyDescent="0.35">
      <c r="A107">
        <v>106</v>
      </c>
      <c r="B107">
        <v>28</v>
      </c>
      <c r="C107" t="s">
        <v>14</v>
      </c>
      <c r="D107">
        <v>46000</v>
      </c>
      <c r="E107" t="s">
        <v>15</v>
      </c>
      <c r="F107">
        <v>250</v>
      </c>
      <c r="G107">
        <v>4.2</v>
      </c>
      <c r="H107" t="s">
        <v>16</v>
      </c>
      <c r="I107" t="s">
        <v>3</v>
      </c>
      <c r="J107">
        <v>14</v>
      </c>
    </row>
    <row r="108" spans="1:10" x14ac:dyDescent="0.35">
      <c r="A108">
        <v>107</v>
      </c>
      <c r="B108">
        <v>41</v>
      </c>
      <c r="C108" t="s">
        <v>23</v>
      </c>
      <c r="D108">
        <v>61000</v>
      </c>
      <c r="E108" t="s">
        <v>19</v>
      </c>
      <c r="F108">
        <v>480</v>
      </c>
      <c r="G108">
        <v>7.8</v>
      </c>
      <c r="H108" t="s">
        <v>17</v>
      </c>
      <c r="I108" t="s">
        <v>4</v>
      </c>
      <c r="J108">
        <v>21</v>
      </c>
    </row>
    <row r="109" spans="1:10" x14ac:dyDescent="0.35">
      <c r="A109">
        <v>108</v>
      </c>
      <c r="B109">
        <v>50</v>
      </c>
      <c r="C109" t="s">
        <v>18</v>
      </c>
      <c r="D109">
        <v>70000</v>
      </c>
      <c r="E109" t="s">
        <v>19</v>
      </c>
      <c r="F109">
        <v>600</v>
      </c>
      <c r="G109">
        <v>9</v>
      </c>
      <c r="H109" t="s">
        <v>20</v>
      </c>
      <c r="I109" t="s">
        <v>5</v>
      </c>
      <c r="J109">
        <v>25</v>
      </c>
    </row>
    <row r="110" spans="1:10" x14ac:dyDescent="0.35">
      <c r="A110">
        <v>109</v>
      </c>
      <c r="B110">
        <v>36</v>
      </c>
      <c r="C110" t="s">
        <v>23</v>
      </c>
      <c r="D110">
        <v>54000</v>
      </c>
      <c r="E110" t="s">
        <v>15</v>
      </c>
      <c r="F110">
        <v>400</v>
      </c>
      <c r="G110">
        <v>6.5</v>
      </c>
      <c r="H110" t="s">
        <v>17</v>
      </c>
      <c r="I110" t="s">
        <v>3</v>
      </c>
      <c r="J110">
        <v>19</v>
      </c>
    </row>
    <row r="111" spans="1:10" x14ac:dyDescent="0.35">
      <c r="A111">
        <v>110</v>
      </c>
      <c r="B111">
        <v>24</v>
      </c>
      <c r="C111" t="s">
        <v>21</v>
      </c>
      <c r="D111">
        <v>32000</v>
      </c>
      <c r="E111" t="s">
        <v>22</v>
      </c>
      <c r="F111">
        <v>170</v>
      </c>
      <c r="G111">
        <v>3.3</v>
      </c>
      <c r="H111" t="s">
        <v>16</v>
      </c>
      <c r="I111" t="s">
        <v>4</v>
      </c>
      <c r="J111">
        <v>11</v>
      </c>
    </row>
    <row r="112" spans="1:10" x14ac:dyDescent="0.35">
      <c r="A112">
        <v>111</v>
      </c>
      <c r="B112">
        <v>49</v>
      </c>
      <c r="C112" t="s">
        <v>18</v>
      </c>
      <c r="D112">
        <v>69000</v>
      </c>
      <c r="E112" t="s">
        <v>19</v>
      </c>
      <c r="F112">
        <v>590</v>
      </c>
      <c r="G112">
        <v>8.9</v>
      </c>
      <c r="H112" t="s">
        <v>20</v>
      </c>
      <c r="I112" t="s">
        <v>5</v>
      </c>
      <c r="J112">
        <v>24</v>
      </c>
    </row>
    <row r="113" spans="1:10" x14ac:dyDescent="0.35">
      <c r="A113">
        <v>112</v>
      </c>
      <c r="B113">
        <v>26</v>
      </c>
      <c r="C113" t="s">
        <v>14</v>
      </c>
      <c r="D113">
        <v>44000</v>
      </c>
      <c r="E113" t="s">
        <v>15</v>
      </c>
      <c r="F113">
        <v>240</v>
      </c>
      <c r="G113">
        <v>4.3</v>
      </c>
      <c r="H113" t="s">
        <v>16</v>
      </c>
      <c r="I113" t="s">
        <v>3</v>
      </c>
      <c r="J113">
        <v>14</v>
      </c>
    </row>
    <row r="114" spans="1:10" x14ac:dyDescent="0.35">
      <c r="A114">
        <v>113</v>
      </c>
      <c r="B114">
        <v>45</v>
      </c>
      <c r="C114" t="s">
        <v>18</v>
      </c>
      <c r="D114">
        <v>65000</v>
      </c>
      <c r="E114" t="s">
        <v>19</v>
      </c>
      <c r="F114">
        <v>500</v>
      </c>
      <c r="G114">
        <v>8</v>
      </c>
      <c r="H114" t="s">
        <v>20</v>
      </c>
      <c r="I114" t="s">
        <v>4</v>
      </c>
      <c r="J114">
        <v>22</v>
      </c>
    </row>
    <row r="115" spans="1:10" x14ac:dyDescent="0.35">
      <c r="A115">
        <v>114</v>
      </c>
      <c r="B115">
        <v>40</v>
      </c>
      <c r="C115" t="s">
        <v>23</v>
      </c>
      <c r="D115">
        <v>60000</v>
      </c>
      <c r="E115" t="s">
        <v>19</v>
      </c>
      <c r="F115">
        <v>450</v>
      </c>
      <c r="G115">
        <v>7.2</v>
      </c>
      <c r="H115" t="s">
        <v>17</v>
      </c>
      <c r="I115" t="s">
        <v>5</v>
      </c>
      <c r="J115">
        <v>20</v>
      </c>
    </row>
    <row r="116" spans="1:10" x14ac:dyDescent="0.35">
      <c r="A116">
        <v>115</v>
      </c>
      <c r="B116">
        <v>38</v>
      </c>
      <c r="C116" t="s">
        <v>23</v>
      </c>
      <c r="D116">
        <v>59000</v>
      </c>
      <c r="E116" t="s">
        <v>15</v>
      </c>
      <c r="F116">
        <v>430</v>
      </c>
      <c r="G116">
        <v>6.9</v>
      </c>
      <c r="H116" t="s">
        <v>17</v>
      </c>
      <c r="I116" t="s">
        <v>3</v>
      </c>
      <c r="J116">
        <v>20</v>
      </c>
    </row>
    <row r="117" spans="1:10" x14ac:dyDescent="0.35">
      <c r="A117">
        <v>116</v>
      </c>
      <c r="B117">
        <v>54</v>
      </c>
      <c r="C117" t="s">
        <v>18</v>
      </c>
      <c r="D117">
        <v>74000</v>
      </c>
      <c r="E117" t="s">
        <v>19</v>
      </c>
      <c r="F117">
        <v>630</v>
      </c>
      <c r="G117">
        <v>9.4</v>
      </c>
      <c r="H117" t="s">
        <v>20</v>
      </c>
      <c r="I117" t="s">
        <v>4</v>
      </c>
      <c r="J117">
        <v>27</v>
      </c>
    </row>
    <row r="118" spans="1:10" x14ac:dyDescent="0.35">
      <c r="A118">
        <v>117</v>
      </c>
      <c r="B118">
        <v>32</v>
      </c>
      <c r="C118" t="s">
        <v>14</v>
      </c>
      <c r="D118">
        <v>52000</v>
      </c>
      <c r="E118" t="s">
        <v>15</v>
      </c>
      <c r="F118">
        <v>360</v>
      </c>
      <c r="G118">
        <v>5.8</v>
      </c>
      <c r="H118" t="s">
        <v>17</v>
      </c>
      <c r="I118" t="s">
        <v>5</v>
      </c>
      <c r="J118">
        <v>18</v>
      </c>
    </row>
    <row r="119" spans="1:10" x14ac:dyDescent="0.35">
      <c r="A119">
        <v>118</v>
      </c>
      <c r="B119">
        <v>31</v>
      </c>
      <c r="C119" t="s">
        <v>14</v>
      </c>
      <c r="D119">
        <v>51000</v>
      </c>
      <c r="E119" t="s">
        <v>15</v>
      </c>
      <c r="F119">
        <v>340</v>
      </c>
      <c r="G119">
        <v>5.6</v>
      </c>
      <c r="H119" t="s">
        <v>17</v>
      </c>
      <c r="I119" t="s">
        <v>3</v>
      </c>
      <c r="J119">
        <v>17</v>
      </c>
    </row>
    <row r="120" spans="1:10" x14ac:dyDescent="0.35">
      <c r="A120">
        <v>119</v>
      </c>
      <c r="B120">
        <v>42</v>
      </c>
      <c r="C120" t="s">
        <v>23</v>
      </c>
      <c r="D120">
        <v>62000</v>
      </c>
      <c r="E120" t="s">
        <v>19</v>
      </c>
      <c r="F120">
        <v>520</v>
      </c>
      <c r="G120">
        <v>8.1999999999999993</v>
      </c>
      <c r="H120" t="s">
        <v>20</v>
      </c>
      <c r="I120" t="s">
        <v>4</v>
      </c>
      <c r="J120">
        <v>23</v>
      </c>
    </row>
    <row r="121" spans="1:10" x14ac:dyDescent="0.35">
      <c r="A121">
        <v>120</v>
      </c>
      <c r="B121">
        <v>55</v>
      </c>
      <c r="C121" t="s">
        <v>18</v>
      </c>
      <c r="D121">
        <v>75000</v>
      </c>
      <c r="E121" t="s">
        <v>19</v>
      </c>
      <c r="F121">
        <v>640</v>
      </c>
      <c r="G121">
        <v>9.5</v>
      </c>
      <c r="H121" t="s">
        <v>20</v>
      </c>
      <c r="I121" t="s">
        <v>5</v>
      </c>
      <c r="J121">
        <v>28</v>
      </c>
    </row>
    <row r="122" spans="1:10" x14ac:dyDescent="0.35">
      <c r="A122">
        <v>121</v>
      </c>
      <c r="B122">
        <v>29</v>
      </c>
      <c r="C122" t="s">
        <v>14</v>
      </c>
      <c r="D122">
        <v>46000</v>
      </c>
      <c r="E122" t="s">
        <v>15</v>
      </c>
      <c r="F122">
        <v>270</v>
      </c>
      <c r="G122">
        <v>4.3</v>
      </c>
      <c r="H122" t="s">
        <v>16</v>
      </c>
      <c r="I122" t="s">
        <v>3</v>
      </c>
      <c r="J122">
        <v>15</v>
      </c>
    </row>
    <row r="123" spans="1:10" x14ac:dyDescent="0.35">
      <c r="A123">
        <v>122</v>
      </c>
      <c r="B123">
        <v>33</v>
      </c>
      <c r="C123" t="s">
        <v>14</v>
      </c>
      <c r="D123">
        <v>53000</v>
      </c>
      <c r="E123" t="s">
        <v>15</v>
      </c>
      <c r="F123">
        <v>380</v>
      </c>
      <c r="G123">
        <v>6</v>
      </c>
      <c r="H123" t="s">
        <v>17</v>
      </c>
      <c r="I123" t="s">
        <v>4</v>
      </c>
      <c r="J123">
        <v>18</v>
      </c>
    </row>
    <row r="124" spans="1:10" x14ac:dyDescent="0.35">
      <c r="A124">
        <v>123</v>
      </c>
      <c r="B124">
        <v>51</v>
      </c>
      <c r="C124" t="s">
        <v>18</v>
      </c>
      <c r="D124">
        <v>71000</v>
      </c>
      <c r="E124" t="s">
        <v>19</v>
      </c>
      <c r="F124">
        <v>600</v>
      </c>
      <c r="G124">
        <v>9</v>
      </c>
      <c r="H124" t="s">
        <v>20</v>
      </c>
      <c r="I124" t="s">
        <v>5</v>
      </c>
      <c r="J124">
        <v>25</v>
      </c>
    </row>
    <row r="125" spans="1:10" x14ac:dyDescent="0.35">
      <c r="A125">
        <v>124</v>
      </c>
      <c r="B125">
        <v>27</v>
      </c>
      <c r="C125" t="s">
        <v>14</v>
      </c>
      <c r="D125">
        <v>43000</v>
      </c>
      <c r="E125" t="s">
        <v>15</v>
      </c>
      <c r="F125">
        <v>230</v>
      </c>
      <c r="G125">
        <v>4</v>
      </c>
      <c r="H125" t="s">
        <v>16</v>
      </c>
      <c r="I125" t="s">
        <v>3</v>
      </c>
      <c r="J125">
        <v>14</v>
      </c>
    </row>
    <row r="126" spans="1:10" x14ac:dyDescent="0.35">
      <c r="A126">
        <v>125</v>
      </c>
      <c r="B126">
        <v>43</v>
      </c>
      <c r="C126" t="s">
        <v>23</v>
      </c>
      <c r="D126">
        <v>63000</v>
      </c>
      <c r="E126" t="s">
        <v>19</v>
      </c>
      <c r="F126">
        <v>470</v>
      </c>
      <c r="G126">
        <v>7.8</v>
      </c>
      <c r="H126" t="s">
        <v>17</v>
      </c>
      <c r="I126" t="s">
        <v>4</v>
      </c>
      <c r="J126">
        <v>21</v>
      </c>
    </row>
    <row r="127" spans="1:10" x14ac:dyDescent="0.35">
      <c r="A127">
        <v>126</v>
      </c>
      <c r="B127">
        <v>41</v>
      </c>
      <c r="C127" t="s">
        <v>23</v>
      </c>
      <c r="D127">
        <v>61000</v>
      </c>
      <c r="E127" t="s">
        <v>19</v>
      </c>
      <c r="F127">
        <v>480</v>
      </c>
      <c r="G127">
        <v>7.7</v>
      </c>
      <c r="H127" t="s">
        <v>17</v>
      </c>
      <c r="I127" t="s">
        <v>5</v>
      </c>
      <c r="J127">
        <v>22</v>
      </c>
    </row>
    <row r="128" spans="1:10" x14ac:dyDescent="0.35">
      <c r="A128">
        <v>127</v>
      </c>
      <c r="B128">
        <v>50</v>
      </c>
      <c r="C128" t="s">
        <v>18</v>
      </c>
      <c r="D128">
        <v>70000</v>
      </c>
      <c r="E128" t="s">
        <v>19</v>
      </c>
      <c r="F128">
        <v>600</v>
      </c>
      <c r="G128">
        <v>9</v>
      </c>
      <c r="H128" t="s">
        <v>20</v>
      </c>
      <c r="I128" t="s">
        <v>3</v>
      </c>
      <c r="J128">
        <v>25</v>
      </c>
    </row>
    <row r="129" spans="1:10" x14ac:dyDescent="0.35">
      <c r="A129">
        <v>128</v>
      </c>
      <c r="B129">
        <v>24</v>
      </c>
      <c r="C129" t="s">
        <v>21</v>
      </c>
      <c r="D129">
        <v>32000</v>
      </c>
      <c r="E129" t="s">
        <v>22</v>
      </c>
      <c r="F129">
        <v>170</v>
      </c>
      <c r="G129">
        <v>3.3</v>
      </c>
      <c r="H129" t="s">
        <v>16</v>
      </c>
      <c r="I129" t="s">
        <v>4</v>
      </c>
      <c r="J129">
        <v>11</v>
      </c>
    </row>
    <row r="130" spans="1:10" x14ac:dyDescent="0.35">
      <c r="A130">
        <v>129</v>
      </c>
      <c r="B130">
        <v>48</v>
      </c>
      <c r="C130" t="s">
        <v>18</v>
      </c>
      <c r="D130">
        <v>68000</v>
      </c>
      <c r="E130" t="s">
        <v>19</v>
      </c>
      <c r="F130">
        <v>550</v>
      </c>
      <c r="G130">
        <v>8.5</v>
      </c>
      <c r="H130" t="s">
        <v>20</v>
      </c>
      <c r="I130" t="s">
        <v>5</v>
      </c>
      <c r="J130">
        <v>24</v>
      </c>
    </row>
    <row r="131" spans="1:10" x14ac:dyDescent="0.35">
      <c r="A131">
        <v>130</v>
      </c>
      <c r="B131">
        <v>30</v>
      </c>
      <c r="C131" t="s">
        <v>14</v>
      </c>
      <c r="D131">
        <v>49000</v>
      </c>
      <c r="E131" t="s">
        <v>15</v>
      </c>
      <c r="F131">
        <v>300</v>
      </c>
      <c r="G131">
        <v>5</v>
      </c>
      <c r="H131" t="s">
        <v>17</v>
      </c>
      <c r="I131" t="s">
        <v>3</v>
      </c>
      <c r="J131">
        <v>16</v>
      </c>
    </row>
    <row r="132" spans="1:10" x14ac:dyDescent="0.35">
      <c r="A132">
        <v>131</v>
      </c>
      <c r="B132">
        <v>39</v>
      </c>
      <c r="C132" t="s">
        <v>23</v>
      </c>
      <c r="D132">
        <v>57000</v>
      </c>
      <c r="E132" t="s">
        <v>15</v>
      </c>
      <c r="F132">
        <v>440</v>
      </c>
      <c r="G132">
        <v>7</v>
      </c>
      <c r="H132" t="s">
        <v>17</v>
      </c>
      <c r="I132" t="s">
        <v>4</v>
      </c>
      <c r="J132">
        <v>21</v>
      </c>
    </row>
    <row r="133" spans="1:10" x14ac:dyDescent="0.35">
      <c r="A133">
        <v>132</v>
      </c>
      <c r="B133">
        <v>37</v>
      </c>
      <c r="C133" t="s">
        <v>23</v>
      </c>
      <c r="D133">
        <v>58000</v>
      </c>
      <c r="E133" t="s">
        <v>15</v>
      </c>
      <c r="F133">
        <v>420</v>
      </c>
      <c r="G133">
        <v>6.8</v>
      </c>
      <c r="H133" t="s">
        <v>17</v>
      </c>
      <c r="I133" t="s">
        <v>5</v>
      </c>
      <c r="J133">
        <v>20</v>
      </c>
    </row>
    <row r="134" spans="1:10" x14ac:dyDescent="0.35">
      <c r="A134">
        <v>133</v>
      </c>
      <c r="B134">
        <v>46</v>
      </c>
      <c r="C134" t="s">
        <v>18</v>
      </c>
      <c r="D134">
        <v>66000</v>
      </c>
      <c r="E134" t="s">
        <v>19</v>
      </c>
      <c r="F134">
        <v>510</v>
      </c>
      <c r="G134">
        <v>8.1</v>
      </c>
      <c r="H134" t="s">
        <v>20</v>
      </c>
      <c r="I134" t="s">
        <v>3</v>
      </c>
      <c r="J134">
        <v>22</v>
      </c>
    </row>
    <row r="135" spans="1:10" x14ac:dyDescent="0.35">
      <c r="A135">
        <v>134</v>
      </c>
      <c r="B135">
        <v>33</v>
      </c>
      <c r="C135" t="s">
        <v>14</v>
      </c>
      <c r="D135">
        <v>53000</v>
      </c>
      <c r="E135" t="s">
        <v>15</v>
      </c>
      <c r="F135">
        <v>380</v>
      </c>
      <c r="G135">
        <v>6</v>
      </c>
      <c r="H135" t="s">
        <v>17</v>
      </c>
      <c r="I135" t="s">
        <v>4</v>
      </c>
      <c r="J135">
        <v>18</v>
      </c>
    </row>
    <row r="136" spans="1:10" x14ac:dyDescent="0.35">
      <c r="A136">
        <v>135</v>
      </c>
      <c r="B136">
        <v>52</v>
      </c>
      <c r="C136" t="s">
        <v>18</v>
      </c>
      <c r="D136">
        <v>72000</v>
      </c>
      <c r="E136" t="s">
        <v>19</v>
      </c>
      <c r="F136">
        <v>610</v>
      </c>
      <c r="G136">
        <v>9.1999999999999993</v>
      </c>
      <c r="H136" t="s">
        <v>20</v>
      </c>
      <c r="I136" t="s">
        <v>5</v>
      </c>
      <c r="J136">
        <v>26</v>
      </c>
    </row>
    <row r="137" spans="1:10" x14ac:dyDescent="0.35">
      <c r="A137">
        <v>136</v>
      </c>
      <c r="B137">
        <v>28</v>
      </c>
      <c r="C137" t="s">
        <v>14</v>
      </c>
      <c r="D137">
        <v>46000</v>
      </c>
      <c r="E137" t="s">
        <v>15</v>
      </c>
      <c r="F137">
        <v>250</v>
      </c>
      <c r="G137">
        <v>4.2</v>
      </c>
      <c r="H137" t="s">
        <v>16</v>
      </c>
      <c r="I137" t="s">
        <v>3</v>
      </c>
      <c r="J137">
        <v>14</v>
      </c>
    </row>
    <row r="138" spans="1:10" x14ac:dyDescent="0.35">
      <c r="A138">
        <v>137</v>
      </c>
      <c r="B138">
        <v>41</v>
      </c>
      <c r="C138" t="s">
        <v>23</v>
      </c>
      <c r="D138">
        <v>61000</v>
      </c>
      <c r="E138" t="s">
        <v>19</v>
      </c>
      <c r="F138">
        <v>480</v>
      </c>
      <c r="G138">
        <v>7.8</v>
      </c>
      <c r="H138" t="s">
        <v>17</v>
      </c>
      <c r="I138" t="s">
        <v>4</v>
      </c>
      <c r="J138">
        <v>21</v>
      </c>
    </row>
    <row r="139" spans="1:10" x14ac:dyDescent="0.35">
      <c r="A139">
        <v>138</v>
      </c>
      <c r="B139">
        <v>50</v>
      </c>
      <c r="C139" t="s">
        <v>18</v>
      </c>
      <c r="D139">
        <v>70000</v>
      </c>
      <c r="E139" t="s">
        <v>19</v>
      </c>
      <c r="F139">
        <v>600</v>
      </c>
      <c r="G139">
        <v>9</v>
      </c>
      <c r="H139" t="s">
        <v>20</v>
      </c>
      <c r="I139" t="s">
        <v>5</v>
      </c>
      <c r="J139">
        <v>25</v>
      </c>
    </row>
    <row r="140" spans="1:10" x14ac:dyDescent="0.35">
      <c r="A140">
        <v>139</v>
      </c>
      <c r="B140">
        <v>36</v>
      </c>
      <c r="C140" t="s">
        <v>23</v>
      </c>
      <c r="D140">
        <v>54000</v>
      </c>
      <c r="E140" t="s">
        <v>15</v>
      </c>
      <c r="F140">
        <v>400</v>
      </c>
      <c r="G140">
        <v>6.5</v>
      </c>
      <c r="H140" t="s">
        <v>17</v>
      </c>
      <c r="I140" t="s">
        <v>3</v>
      </c>
      <c r="J140">
        <v>19</v>
      </c>
    </row>
    <row r="141" spans="1:10" x14ac:dyDescent="0.35">
      <c r="A141">
        <v>140</v>
      </c>
      <c r="B141">
        <v>24</v>
      </c>
      <c r="C141" t="s">
        <v>21</v>
      </c>
      <c r="D141">
        <v>32000</v>
      </c>
      <c r="E141" t="s">
        <v>22</v>
      </c>
      <c r="F141">
        <v>170</v>
      </c>
      <c r="G141">
        <v>3.3</v>
      </c>
      <c r="H141" t="s">
        <v>16</v>
      </c>
      <c r="I141" t="s">
        <v>4</v>
      </c>
      <c r="J141">
        <v>11</v>
      </c>
    </row>
    <row r="142" spans="1:10" x14ac:dyDescent="0.35">
      <c r="A142">
        <v>141</v>
      </c>
      <c r="B142">
        <v>49</v>
      </c>
      <c r="C142" t="s">
        <v>18</v>
      </c>
      <c r="D142">
        <v>69000</v>
      </c>
      <c r="E142" t="s">
        <v>19</v>
      </c>
      <c r="F142">
        <v>590</v>
      </c>
      <c r="G142">
        <v>8.9</v>
      </c>
      <c r="H142" t="s">
        <v>20</v>
      </c>
      <c r="I142" t="s">
        <v>5</v>
      </c>
      <c r="J142">
        <v>24</v>
      </c>
    </row>
    <row r="143" spans="1:10" x14ac:dyDescent="0.35">
      <c r="A143">
        <v>142</v>
      </c>
      <c r="B143">
        <v>26</v>
      </c>
      <c r="C143" t="s">
        <v>14</v>
      </c>
      <c r="D143">
        <v>44000</v>
      </c>
      <c r="E143" t="s">
        <v>15</v>
      </c>
      <c r="F143">
        <v>240</v>
      </c>
      <c r="G143">
        <v>4.3</v>
      </c>
      <c r="H143" t="s">
        <v>16</v>
      </c>
      <c r="I143" t="s">
        <v>3</v>
      </c>
      <c r="J143">
        <v>14</v>
      </c>
    </row>
    <row r="144" spans="1:10" x14ac:dyDescent="0.35">
      <c r="A144">
        <v>143</v>
      </c>
      <c r="B144">
        <v>45</v>
      </c>
      <c r="C144" t="s">
        <v>18</v>
      </c>
      <c r="D144">
        <v>65000</v>
      </c>
      <c r="E144" t="s">
        <v>19</v>
      </c>
      <c r="F144">
        <v>500</v>
      </c>
      <c r="G144">
        <v>8</v>
      </c>
      <c r="H144" t="s">
        <v>20</v>
      </c>
      <c r="I144" t="s">
        <v>4</v>
      </c>
      <c r="J144">
        <v>22</v>
      </c>
    </row>
    <row r="145" spans="1:10" x14ac:dyDescent="0.35">
      <c r="A145">
        <v>144</v>
      </c>
      <c r="B145">
        <v>40</v>
      </c>
      <c r="C145" t="s">
        <v>23</v>
      </c>
      <c r="D145">
        <v>60000</v>
      </c>
      <c r="E145" t="s">
        <v>19</v>
      </c>
      <c r="F145">
        <v>450</v>
      </c>
      <c r="G145">
        <v>7.2</v>
      </c>
      <c r="H145" t="s">
        <v>17</v>
      </c>
      <c r="I145" t="s">
        <v>5</v>
      </c>
      <c r="J145">
        <v>20</v>
      </c>
    </row>
    <row r="146" spans="1:10" x14ac:dyDescent="0.35">
      <c r="A146">
        <v>145</v>
      </c>
      <c r="B146">
        <v>38</v>
      </c>
      <c r="C146" t="s">
        <v>23</v>
      </c>
      <c r="D146">
        <v>59000</v>
      </c>
      <c r="E146" t="s">
        <v>15</v>
      </c>
      <c r="F146">
        <v>430</v>
      </c>
      <c r="G146">
        <v>6.9</v>
      </c>
      <c r="H146" t="s">
        <v>17</v>
      </c>
      <c r="I146" t="s">
        <v>3</v>
      </c>
      <c r="J146">
        <v>20</v>
      </c>
    </row>
    <row r="147" spans="1:10" x14ac:dyDescent="0.35">
      <c r="A147">
        <v>146</v>
      </c>
      <c r="B147">
        <v>54</v>
      </c>
      <c r="C147" t="s">
        <v>18</v>
      </c>
      <c r="D147">
        <v>74000</v>
      </c>
      <c r="E147" t="s">
        <v>19</v>
      </c>
      <c r="F147">
        <v>630</v>
      </c>
      <c r="G147">
        <v>9.4</v>
      </c>
      <c r="H147" t="s">
        <v>20</v>
      </c>
      <c r="I147" t="s">
        <v>4</v>
      </c>
      <c r="J147">
        <v>27</v>
      </c>
    </row>
    <row r="148" spans="1:10" x14ac:dyDescent="0.35">
      <c r="A148">
        <v>147</v>
      </c>
      <c r="B148">
        <v>32</v>
      </c>
      <c r="C148" t="s">
        <v>14</v>
      </c>
      <c r="D148">
        <v>52000</v>
      </c>
      <c r="E148" t="s">
        <v>15</v>
      </c>
      <c r="F148">
        <v>360</v>
      </c>
      <c r="G148">
        <v>5.8</v>
      </c>
      <c r="H148" t="s">
        <v>17</v>
      </c>
      <c r="I148" t="s">
        <v>5</v>
      </c>
      <c r="J148">
        <v>18</v>
      </c>
    </row>
    <row r="149" spans="1:10" x14ac:dyDescent="0.35">
      <c r="A149">
        <v>148</v>
      </c>
      <c r="B149">
        <v>31</v>
      </c>
      <c r="C149" t="s">
        <v>14</v>
      </c>
      <c r="D149">
        <v>51000</v>
      </c>
      <c r="E149" t="s">
        <v>15</v>
      </c>
      <c r="F149">
        <v>340</v>
      </c>
      <c r="G149">
        <v>5.6</v>
      </c>
      <c r="H149" t="s">
        <v>17</v>
      </c>
      <c r="I149" t="s">
        <v>3</v>
      </c>
      <c r="J149">
        <v>17</v>
      </c>
    </row>
    <row r="150" spans="1:10" x14ac:dyDescent="0.35">
      <c r="A150">
        <v>149</v>
      </c>
      <c r="B150">
        <v>42</v>
      </c>
      <c r="C150" t="s">
        <v>23</v>
      </c>
      <c r="D150">
        <v>62000</v>
      </c>
      <c r="E150" t="s">
        <v>19</v>
      </c>
      <c r="F150">
        <v>520</v>
      </c>
      <c r="G150">
        <v>8.1999999999999993</v>
      </c>
      <c r="H150" t="s">
        <v>20</v>
      </c>
      <c r="I150" t="s">
        <v>4</v>
      </c>
      <c r="J150">
        <v>23</v>
      </c>
    </row>
    <row r="151" spans="1:10" x14ac:dyDescent="0.35">
      <c r="A151">
        <v>150</v>
      </c>
      <c r="B151">
        <v>55</v>
      </c>
      <c r="C151" t="s">
        <v>18</v>
      </c>
      <c r="D151">
        <v>75000</v>
      </c>
      <c r="E151" t="s">
        <v>19</v>
      </c>
      <c r="F151">
        <v>640</v>
      </c>
      <c r="G151">
        <v>9.5</v>
      </c>
      <c r="H151" t="s">
        <v>20</v>
      </c>
      <c r="I151" t="s">
        <v>5</v>
      </c>
      <c r="J151">
        <v>28</v>
      </c>
    </row>
    <row r="152" spans="1:10" x14ac:dyDescent="0.35">
      <c r="A152">
        <v>151</v>
      </c>
      <c r="B152">
        <v>29</v>
      </c>
      <c r="C152" t="s">
        <v>14</v>
      </c>
      <c r="D152">
        <v>46000</v>
      </c>
      <c r="E152" t="s">
        <v>15</v>
      </c>
      <c r="F152">
        <v>270</v>
      </c>
      <c r="G152">
        <v>4.3</v>
      </c>
      <c r="H152" t="s">
        <v>16</v>
      </c>
      <c r="I152" t="s">
        <v>3</v>
      </c>
      <c r="J152">
        <v>15</v>
      </c>
    </row>
    <row r="153" spans="1:10" x14ac:dyDescent="0.35">
      <c r="A153">
        <v>152</v>
      </c>
      <c r="B153">
        <v>33</v>
      </c>
      <c r="C153" t="s">
        <v>14</v>
      </c>
      <c r="D153">
        <v>53000</v>
      </c>
      <c r="E153" t="s">
        <v>15</v>
      </c>
      <c r="F153">
        <v>380</v>
      </c>
      <c r="G153">
        <v>6</v>
      </c>
      <c r="H153" t="s">
        <v>17</v>
      </c>
      <c r="I153" t="s">
        <v>4</v>
      </c>
      <c r="J153">
        <v>18</v>
      </c>
    </row>
    <row r="154" spans="1:10" x14ac:dyDescent="0.35">
      <c r="A154">
        <v>153</v>
      </c>
      <c r="B154">
        <v>51</v>
      </c>
      <c r="C154" t="s">
        <v>18</v>
      </c>
      <c r="D154">
        <v>71000</v>
      </c>
      <c r="E154" t="s">
        <v>19</v>
      </c>
      <c r="F154">
        <v>600</v>
      </c>
      <c r="G154">
        <v>9</v>
      </c>
      <c r="H154" t="s">
        <v>20</v>
      </c>
      <c r="I154" t="s">
        <v>5</v>
      </c>
      <c r="J154">
        <v>25</v>
      </c>
    </row>
    <row r="155" spans="1:10" x14ac:dyDescent="0.35">
      <c r="A155">
        <v>154</v>
      </c>
      <c r="B155">
        <v>27</v>
      </c>
      <c r="C155" t="s">
        <v>14</v>
      </c>
      <c r="D155">
        <v>43000</v>
      </c>
      <c r="E155" t="s">
        <v>15</v>
      </c>
      <c r="F155">
        <v>230</v>
      </c>
      <c r="G155">
        <v>4</v>
      </c>
      <c r="H155" t="s">
        <v>16</v>
      </c>
      <c r="I155" t="s">
        <v>3</v>
      </c>
      <c r="J155">
        <v>14</v>
      </c>
    </row>
    <row r="156" spans="1:10" x14ac:dyDescent="0.35">
      <c r="A156">
        <v>155</v>
      </c>
      <c r="B156">
        <v>43</v>
      </c>
      <c r="C156" t="s">
        <v>23</v>
      </c>
      <c r="D156">
        <v>63000</v>
      </c>
      <c r="E156" t="s">
        <v>19</v>
      </c>
      <c r="F156">
        <v>470</v>
      </c>
      <c r="G156">
        <v>7.8</v>
      </c>
      <c r="H156" t="s">
        <v>17</v>
      </c>
      <c r="I156" t="s">
        <v>4</v>
      </c>
      <c r="J156">
        <v>21</v>
      </c>
    </row>
    <row r="157" spans="1:10" x14ac:dyDescent="0.35">
      <c r="A157">
        <v>156</v>
      </c>
      <c r="B157">
        <v>41</v>
      </c>
      <c r="C157" t="s">
        <v>23</v>
      </c>
      <c r="D157">
        <v>61000</v>
      </c>
      <c r="E157" t="s">
        <v>19</v>
      </c>
      <c r="F157">
        <v>480</v>
      </c>
      <c r="G157">
        <v>7.7</v>
      </c>
      <c r="H157" t="s">
        <v>17</v>
      </c>
      <c r="I157" t="s">
        <v>5</v>
      </c>
      <c r="J157">
        <v>22</v>
      </c>
    </row>
    <row r="158" spans="1:10" x14ac:dyDescent="0.35">
      <c r="A158">
        <v>157</v>
      </c>
      <c r="B158">
        <v>50</v>
      </c>
      <c r="C158" t="s">
        <v>18</v>
      </c>
      <c r="D158">
        <v>70000</v>
      </c>
      <c r="E158" t="s">
        <v>19</v>
      </c>
      <c r="F158">
        <v>600</v>
      </c>
      <c r="G158">
        <v>9</v>
      </c>
      <c r="H158" t="s">
        <v>20</v>
      </c>
      <c r="I158" t="s">
        <v>3</v>
      </c>
      <c r="J158">
        <v>25</v>
      </c>
    </row>
    <row r="159" spans="1:10" x14ac:dyDescent="0.35">
      <c r="A159">
        <v>158</v>
      </c>
      <c r="B159">
        <v>24</v>
      </c>
      <c r="C159" t="s">
        <v>21</v>
      </c>
      <c r="D159">
        <v>32000</v>
      </c>
      <c r="E159" t="s">
        <v>22</v>
      </c>
      <c r="F159">
        <v>170</v>
      </c>
      <c r="G159">
        <v>3.3</v>
      </c>
      <c r="H159" t="s">
        <v>16</v>
      </c>
      <c r="I159" t="s">
        <v>4</v>
      </c>
      <c r="J159">
        <v>11</v>
      </c>
    </row>
    <row r="160" spans="1:10" x14ac:dyDescent="0.35">
      <c r="A160">
        <v>159</v>
      </c>
      <c r="B160">
        <v>48</v>
      </c>
      <c r="C160" t="s">
        <v>18</v>
      </c>
      <c r="D160">
        <v>68000</v>
      </c>
      <c r="E160" t="s">
        <v>19</v>
      </c>
      <c r="F160">
        <v>550</v>
      </c>
      <c r="G160">
        <v>8.5</v>
      </c>
      <c r="H160" t="s">
        <v>20</v>
      </c>
      <c r="I160" t="s">
        <v>5</v>
      </c>
      <c r="J160">
        <v>24</v>
      </c>
    </row>
    <row r="161" spans="1:10" x14ac:dyDescent="0.35">
      <c r="A161">
        <v>160</v>
      </c>
      <c r="B161">
        <v>30</v>
      </c>
      <c r="C161" t="s">
        <v>14</v>
      </c>
      <c r="D161">
        <v>49000</v>
      </c>
      <c r="E161" t="s">
        <v>15</v>
      </c>
      <c r="F161">
        <v>300</v>
      </c>
      <c r="G161">
        <v>5</v>
      </c>
      <c r="H161" t="s">
        <v>17</v>
      </c>
      <c r="I161" t="s">
        <v>3</v>
      </c>
      <c r="J161">
        <v>16</v>
      </c>
    </row>
    <row r="162" spans="1:10" x14ac:dyDescent="0.35">
      <c r="A162">
        <v>161</v>
      </c>
      <c r="B162">
        <v>39</v>
      </c>
      <c r="C162" t="s">
        <v>23</v>
      </c>
      <c r="D162">
        <v>57000</v>
      </c>
      <c r="E162" t="s">
        <v>15</v>
      </c>
      <c r="F162">
        <v>440</v>
      </c>
      <c r="G162">
        <v>7</v>
      </c>
      <c r="H162" t="s">
        <v>17</v>
      </c>
      <c r="I162" t="s">
        <v>4</v>
      </c>
      <c r="J162">
        <v>21</v>
      </c>
    </row>
    <row r="163" spans="1:10" x14ac:dyDescent="0.35">
      <c r="A163">
        <v>162</v>
      </c>
      <c r="B163">
        <v>37</v>
      </c>
      <c r="C163" t="s">
        <v>23</v>
      </c>
      <c r="D163">
        <v>58000</v>
      </c>
      <c r="E163" t="s">
        <v>15</v>
      </c>
      <c r="F163">
        <v>420</v>
      </c>
      <c r="G163">
        <v>6.8</v>
      </c>
      <c r="H163" t="s">
        <v>17</v>
      </c>
      <c r="I163" t="s">
        <v>5</v>
      </c>
      <c r="J163">
        <v>20</v>
      </c>
    </row>
    <row r="164" spans="1:10" x14ac:dyDescent="0.35">
      <c r="A164">
        <v>163</v>
      </c>
      <c r="B164">
        <v>46</v>
      </c>
      <c r="C164" t="s">
        <v>18</v>
      </c>
      <c r="D164">
        <v>66000</v>
      </c>
      <c r="E164" t="s">
        <v>19</v>
      </c>
      <c r="F164">
        <v>510</v>
      </c>
      <c r="G164">
        <v>8.1</v>
      </c>
      <c r="H164" t="s">
        <v>20</v>
      </c>
      <c r="I164" t="s">
        <v>3</v>
      </c>
      <c r="J164">
        <v>22</v>
      </c>
    </row>
    <row r="165" spans="1:10" x14ac:dyDescent="0.35">
      <c r="A165">
        <v>164</v>
      </c>
      <c r="B165">
        <v>33</v>
      </c>
      <c r="C165" t="s">
        <v>14</v>
      </c>
      <c r="D165">
        <v>53000</v>
      </c>
      <c r="E165" t="s">
        <v>15</v>
      </c>
      <c r="F165">
        <v>380</v>
      </c>
      <c r="G165">
        <v>6</v>
      </c>
      <c r="H165" t="s">
        <v>17</v>
      </c>
      <c r="I165" t="s">
        <v>4</v>
      </c>
      <c r="J165">
        <v>18</v>
      </c>
    </row>
    <row r="166" spans="1:10" x14ac:dyDescent="0.35">
      <c r="A166">
        <v>165</v>
      </c>
      <c r="B166">
        <v>52</v>
      </c>
      <c r="C166" t="s">
        <v>18</v>
      </c>
      <c r="D166">
        <v>72000</v>
      </c>
      <c r="E166" t="s">
        <v>19</v>
      </c>
      <c r="F166">
        <v>610</v>
      </c>
      <c r="G166">
        <v>9.1999999999999993</v>
      </c>
      <c r="H166" t="s">
        <v>20</v>
      </c>
      <c r="I166" t="s">
        <v>5</v>
      </c>
      <c r="J166">
        <v>26</v>
      </c>
    </row>
    <row r="167" spans="1:10" x14ac:dyDescent="0.35">
      <c r="A167">
        <v>166</v>
      </c>
      <c r="B167">
        <v>28</v>
      </c>
      <c r="C167" t="s">
        <v>14</v>
      </c>
      <c r="D167">
        <v>46000</v>
      </c>
      <c r="E167" t="s">
        <v>15</v>
      </c>
      <c r="F167">
        <v>250</v>
      </c>
      <c r="G167">
        <v>4.2</v>
      </c>
      <c r="H167" t="s">
        <v>16</v>
      </c>
      <c r="I167" t="s">
        <v>3</v>
      </c>
      <c r="J167">
        <v>14</v>
      </c>
    </row>
    <row r="168" spans="1:10" x14ac:dyDescent="0.35">
      <c r="A168">
        <v>167</v>
      </c>
      <c r="B168">
        <v>41</v>
      </c>
      <c r="C168" t="s">
        <v>23</v>
      </c>
      <c r="D168">
        <v>61000</v>
      </c>
      <c r="E168" t="s">
        <v>19</v>
      </c>
      <c r="F168">
        <v>480</v>
      </c>
      <c r="G168">
        <v>7.8</v>
      </c>
      <c r="H168" t="s">
        <v>17</v>
      </c>
      <c r="I168" t="s">
        <v>4</v>
      </c>
      <c r="J168">
        <v>21</v>
      </c>
    </row>
    <row r="169" spans="1:10" x14ac:dyDescent="0.35">
      <c r="A169">
        <v>168</v>
      </c>
      <c r="B169">
        <v>50</v>
      </c>
      <c r="C169" t="s">
        <v>18</v>
      </c>
      <c r="D169">
        <v>70000</v>
      </c>
      <c r="E169" t="s">
        <v>19</v>
      </c>
      <c r="F169">
        <v>600</v>
      </c>
      <c r="G169">
        <v>9</v>
      </c>
      <c r="H169" t="s">
        <v>20</v>
      </c>
      <c r="I169" t="s">
        <v>5</v>
      </c>
      <c r="J169">
        <v>25</v>
      </c>
    </row>
    <row r="170" spans="1:10" x14ac:dyDescent="0.35">
      <c r="A170">
        <v>169</v>
      </c>
      <c r="B170">
        <v>36</v>
      </c>
      <c r="C170" t="s">
        <v>23</v>
      </c>
      <c r="D170">
        <v>54000</v>
      </c>
      <c r="E170" t="s">
        <v>15</v>
      </c>
      <c r="F170">
        <v>400</v>
      </c>
      <c r="G170">
        <v>6.5</v>
      </c>
      <c r="H170" t="s">
        <v>17</v>
      </c>
      <c r="I170" t="s">
        <v>3</v>
      </c>
      <c r="J170">
        <v>19</v>
      </c>
    </row>
    <row r="171" spans="1:10" x14ac:dyDescent="0.35">
      <c r="A171">
        <v>170</v>
      </c>
      <c r="B171">
        <v>24</v>
      </c>
      <c r="C171" t="s">
        <v>21</v>
      </c>
      <c r="D171">
        <v>32000</v>
      </c>
      <c r="E171" t="s">
        <v>22</v>
      </c>
      <c r="F171">
        <v>170</v>
      </c>
      <c r="G171">
        <v>3.3</v>
      </c>
      <c r="H171" t="s">
        <v>16</v>
      </c>
      <c r="I171" t="s">
        <v>4</v>
      </c>
      <c r="J171">
        <v>11</v>
      </c>
    </row>
    <row r="172" spans="1:10" x14ac:dyDescent="0.35">
      <c r="A172">
        <v>171</v>
      </c>
      <c r="B172">
        <v>49</v>
      </c>
      <c r="C172" t="s">
        <v>18</v>
      </c>
      <c r="D172">
        <v>69000</v>
      </c>
      <c r="E172" t="s">
        <v>19</v>
      </c>
      <c r="F172">
        <v>590</v>
      </c>
      <c r="G172">
        <v>8.9</v>
      </c>
      <c r="H172" t="s">
        <v>20</v>
      </c>
      <c r="I172" t="s">
        <v>5</v>
      </c>
      <c r="J172">
        <v>24</v>
      </c>
    </row>
    <row r="173" spans="1:10" x14ac:dyDescent="0.35">
      <c r="A173">
        <v>172</v>
      </c>
      <c r="B173">
        <v>26</v>
      </c>
      <c r="C173" t="s">
        <v>14</v>
      </c>
      <c r="D173">
        <v>44000</v>
      </c>
      <c r="E173" t="s">
        <v>15</v>
      </c>
      <c r="F173">
        <v>240</v>
      </c>
      <c r="G173">
        <v>4.3</v>
      </c>
      <c r="H173" t="s">
        <v>16</v>
      </c>
      <c r="I173" t="s">
        <v>3</v>
      </c>
      <c r="J173">
        <v>14</v>
      </c>
    </row>
    <row r="174" spans="1:10" x14ac:dyDescent="0.35">
      <c r="A174">
        <v>173</v>
      </c>
      <c r="B174">
        <v>45</v>
      </c>
      <c r="C174" t="s">
        <v>18</v>
      </c>
      <c r="D174">
        <v>65000</v>
      </c>
      <c r="E174" t="s">
        <v>19</v>
      </c>
      <c r="F174">
        <v>500</v>
      </c>
      <c r="G174">
        <v>8</v>
      </c>
      <c r="H174" t="s">
        <v>20</v>
      </c>
      <c r="I174" t="s">
        <v>4</v>
      </c>
      <c r="J174">
        <v>22</v>
      </c>
    </row>
    <row r="175" spans="1:10" x14ac:dyDescent="0.35">
      <c r="A175">
        <v>174</v>
      </c>
      <c r="B175">
        <v>40</v>
      </c>
      <c r="C175" t="s">
        <v>23</v>
      </c>
      <c r="D175">
        <v>60000</v>
      </c>
      <c r="E175" t="s">
        <v>19</v>
      </c>
      <c r="F175">
        <v>450</v>
      </c>
      <c r="G175">
        <v>7.2</v>
      </c>
      <c r="H175" t="s">
        <v>17</v>
      </c>
      <c r="I175" t="s">
        <v>5</v>
      </c>
      <c r="J175">
        <v>20</v>
      </c>
    </row>
    <row r="176" spans="1:10" x14ac:dyDescent="0.35">
      <c r="A176">
        <v>175</v>
      </c>
      <c r="B176">
        <v>38</v>
      </c>
      <c r="C176" t="s">
        <v>23</v>
      </c>
      <c r="D176">
        <v>59000</v>
      </c>
      <c r="E176" t="s">
        <v>15</v>
      </c>
      <c r="F176">
        <v>430</v>
      </c>
      <c r="G176">
        <v>6.9</v>
      </c>
      <c r="H176" t="s">
        <v>17</v>
      </c>
      <c r="I176" t="s">
        <v>3</v>
      </c>
      <c r="J176">
        <v>20</v>
      </c>
    </row>
    <row r="177" spans="1:10" x14ac:dyDescent="0.35">
      <c r="A177">
        <v>176</v>
      </c>
      <c r="B177">
        <v>54</v>
      </c>
      <c r="C177" t="s">
        <v>18</v>
      </c>
      <c r="D177">
        <v>74000</v>
      </c>
      <c r="E177" t="s">
        <v>19</v>
      </c>
      <c r="F177">
        <v>630</v>
      </c>
      <c r="G177">
        <v>9.4</v>
      </c>
      <c r="H177" t="s">
        <v>20</v>
      </c>
      <c r="I177" t="s">
        <v>4</v>
      </c>
      <c r="J177">
        <v>27</v>
      </c>
    </row>
    <row r="178" spans="1:10" x14ac:dyDescent="0.35">
      <c r="A178">
        <v>177</v>
      </c>
      <c r="B178">
        <v>32</v>
      </c>
      <c r="C178" t="s">
        <v>14</v>
      </c>
      <c r="D178">
        <v>52000</v>
      </c>
      <c r="E178" t="s">
        <v>15</v>
      </c>
      <c r="F178">
        <v>360</v>
      </c>
      <c r="G178">
        <v>5.8</v>
      </c>
      <c r="H178" t="s">
        <v>17</v>
      </c>
      <c r="I178" t="s">
        <v>5</v>
      </c>
      <c r="J178">
        <v>18</v>
      </c>
    </row>
    <row r="179" spans="1:10" x14ac:dyDescent="0.35">
      <c r="A179">
        <v>178</v>
      </c>
      <c r="B179">
        <v>31</v>
      </c>
      <c r="C179" t="s">
        <v>14</v>
      </c>
      <c r="D179">
        <v>51000</v>
      </c>
      <c r="E179" t="s">
        <v>15</v>
      </c>
      <c r="F179">
        <v>340</v>
      </c>
      <c r="G179">
        <v>5.6</v>
      </c>
      <c r="H179" t="s">
        <v>17</v>
      </c>
      <c r="I179" t="s">
        <v>3</v>
      </c>
      <c r="J179">
        <v>17</v>
      </c>
    </row>
    <row r="180" spans="1:10" x14ac:dyDescent="0.35">
      <c r="A180">
        <v>179</v>
      </c>
      <c r="B180">
        <v>42</v>
      </c>
      <c r="C180" t="s">
        <v>23</v>
      </c>
      <c r="D180">
        <v>62000</v>
      </c>
      <c r="E180" t="s">
        <v>19</v>
      </c>
      <c r="F180">
        <v>520</v>
      </c>
      <c r="G180">
        <v>8.1999999999999993</v>
      </c>
      <c r="H180" t="s">
        <v>20</v>
      </c>
      <c r="I180" t="s">
        <v>4</v>
      </c>
      <c r="J180">
        <v>23</v>
      </c>
    </row>
    <row r="181" spans="1:10" x14ac:dyDescent="0.35">
      <c r="A181">
        <v>180</v>
      </c>
      <c r="B181">
        <v>55</v>
      </c>
      <c r="C181" t="s">
        <v>18</v>
      </c>
      <c r="D181">
        <v>75000</v>
      </c>
      <c r="E181" t="s">
        <v>19</v>
      </c>
      <c r="F181">
        <v>640</v>
      </c>
      <c r="G181">
        <v>9.5</v>
      </c>
      <c r="H181" t="s">
        <v>20</v>
      </c>
      <c r="I181" t="s">
        <v>5</v>
      </c>
      <c r="J181">
        <v>28</v>
      </c>
    </row>
    <row r="182" spans="1:10" x14ac:dyDescent="0.35">
      <c r="A182">
        <v>181</v>
      </c>
      <c r="B182">
        <v>29</v>
      </c>
      <c r="C182" t="s">
        <v>14</v>
      </c>
      <c r="D182">
        <v>46000</v>
      </c>
      <c r="E182" t="s">
        <v>15</v>
      </c>
      <c r="F182">
        <v>270</v>
      </c>
      <c r="G182">
        <v>4.3</v>
      </c>
      <c r="H182" t="s">
        <v>16</v>
      </c>
      <c r="I182" t="s">
        <v>3</v>
      </c>
      <c r="J182">
        <v>15</v>
      </c>
    </row>
    <row r="183" spans="1:10" x14ac:dyDescent="0.35">
      <c r="A183">
        <v>182</v>
      </c>
      <c r="B183">
        <v>33</v>
      </c>
      <c r="C183" t="s">
        <v>14</v>
      </c>
      <c r="D183">
        <v>53000</v>
      </c>
      <c r="E183" t="s">
        <v>15</v>
      </c>
      <c r="F183">
        <v>380</v>
      </c>
      <c r="G183">
        <v>6</v>
      </c>
      <c r="H183" t="s">
        <v>17</v>
      </c>
      <c r="I183" t="s">
        <v>4</v>
      </c>
      <c r="J183">
        <v>18</v>
      </c>
    </row>
    <row r="184" spans="1:10" x14ac:dyDescent="0.35">
      <c r="A184">
        <v>183</v>
      </c>
      <c r="B184">
        <v>51</v>
      </c>
      <c r="C184" t="s">
        <v>18</v>
      </c>
      <c r="D184">
        <v>71000</v>
      </c>
      <c r="E184" t="s">
        <v>19</v>
      </c>
      <c r="F184">
        <v>600</v>
      </c>
      <c r="G184">
        <v>9</v>
      </c>
      <c r="H184" t="s">
        <v>20</v>
      </c>
      <c r="I184" t="s">
        <v>5</v>
      </c>
      <c r="J184">
        <v>25</v>
      </c>
    </row>
    <row r="185" spans="1:10" x14ac:dyDescent="0.35">
      <c r="A185">
        <v>184</v>
      </c>
      <c r="B185">
        <v>27</v>
      </c>
      <c r="C185" t="s">
        <v>14</v>
      </c>
      <c r="D185">
        <v>43000</v>
      </c>
      <c r="E185" t="s">
        <v>15</v>
      </c>
      <c r="F185">
        <v>230</v>
      </c>
      <c r="G185">
        <v>4</v>
      </c>
      <c r="H185" t="s">
        <v>16</v>
      </c>
      <c r="I185" t="s">
        <v>3</v>
      </c>
      <c r="J185">
        <v>14</v>
      </c>
    </row>
    <row r="186" spans="1:10" x14ac:dyDescent="0.35">
      <c r="A186">
        <v>185</v>
      </c>
      <c r="B186">
        <v>43</v>
      </c>
      <c r="C186" t="s">
        <v>23</v>
      </c>
      <c r="D186">
        <v>63000</v>
      </c>
      <c r="E186" t="s">
        <v>19</v>
      </c>
      <c r="F186">
        <v>470</v>
      </c>
      <c r="G186">
        <v>7.8</v>
      </c>
      <c r="H186" t="s">
        <v>17</v>
      </c>
      <c r="I186" t="s">
        <v>4</v>
      </c>
      <c r="J186">
        <v>21</v>
      </c>
    </row>
    <row r="187" spans="1:10" x14ac:dyDescent="0.35">
      <c r="A187">
        <v>186</v>
      </c>
      <c r="B187">
        <v>41</v>
      </c>
      <c r="C187" t="s">
        <v>23</v>
      </c>
      <c r="D187">
        <v>61000</v>
      </c>
      <c r="E187" t="s">
        <v>19</v>
      </c>
      <c r="F187">
        <v>480</v>
      </c>
      <c r="G187">
        <v>7.7</v>
      </c>
      <c r="H187" t="s">
        <v>17</v>
      </c>
      <c r="I187" t="s">
        <v>5</v>
      </c>
      <c r="J187">
        <v>22</v>
      </c>
    </row>
    <row r="188" spans="1:10" x14ac:dyDescent="0.35">
      <c r="A188">
        <v>187</v>
      </c>
      <c r="B188">
        <v>50</v>
      </c>
      <c r="C188" t="s">
        <v>18</v>
      </c>
      <c r="D188">
        <v>70000</v>
      </c>
      <c r="E188" t="s">
        <v>19</v>
      </c>
      <c r="F188">
        <v>600</v>
      </c>
      <c r="G188">
        <v>9</v>
      </c>
      <c r="H188" t="s">
        <v>20</v>
      </c>
      <c r="I188" t="s">
        <v>3</v>
      </c>
      <c r="J188">
        <v>25</v>
      </c>
    </row>
    <row r="189" spans="1:10" x14ac:dyDescent="0.35">
      <c r="A189">
        <v>188</v>
      </c>
      <c r="B189">
        <v>24</v>
      </c>
      <c r="C189" t="s">
        <v>21</v>
      </c>
      <c r="D189">
        <v>32000</v>
      </c>
      <c r="E189" t="s">
        <v>22</v>
      </c>
      <c r="F189">
        <v>170</v>
      </c>
      <c r="G189">
        <v>3.3</v>
      </c>
      <c r="H189" t="s">
        <v>16</v>
      </c>
      <c r="I189" t="s">
        <v>4</v>
      </c>
      <c r="J189">
        <v>11</v>
      </c>
    </row>
    <row r="190" spans="1:10" x14ac:dyDescent="0.35">
      <c r="A190">
        <v>189</v>
      </c>
      <c r="B190">
        <v>48</v>
      </c>
      <c r="C190" t="s">
        <v>18</v>
      </c>
      <c r="D190">
        <v>68000</v>
      </c>
      <c r="E190" t="s">
        <v>19</v>
      </c>
      <c r="F190">
        <v>550</v>
      </c>
      <c r="G190">
        <v>8.5</v>
      </c>
      <c r="H190" t="s">
        <v>20</v>
      </c>
      <c r="I190" t="s">
        <v>5</v>
      </c>
      <c r="J190">
        <v>24</v>
      </c>
    </row>
    <row r="191" spans="1:10" x14ac:dyDescent="0.35">
      <c r="A191">
        <v>190</v>
      </c>
      <c r="B191">
        <v>30</v>
      </c>
      <c r="C191" t="s">
        <v>14</v>
      </c>
      <c r="D191">
        <v>49000</v>
      </c>
      <c r="E191" t="s">
        <v>15</v>
      </c>
      <c r="F191">
        <v>300</v>
      </c>
      <c r="G191">
        <v>5</v>
      </c>
      <c r="H191" t="s">
        <v>17</v>
      </c>
      <c r="I191" t="s">
        <v>3</v>
      </c>
      <c r="J191">
        <v>16</v>
      </c>
    </row>
    <row r="192" spans="1:10" x14ac:dyDescent="0.35">
      <c r="A192">
        <v>191</v>
      </c>
      <c r="B192">
        <v>39</v>
      </c>
      <c r="C192" t="s">
        <v>23</v>
      </c>
      <c r="D192">
        <v>57000</v>
      </c>
      <c r="E192" t="s">
        <v>15</v>
      </c>
      <c r="F192">
        <v>440</v>
      </c>
      <c r="G192">
        <v>7</v>
      </c>
      <c r="H192" t="s">
        <v>17</v>
      </c>
      <c r="I192" t="s">
        <v>4</v>
      </c>
      <c r="J192">
        <v>21</v>
      </c>
    </row>
    <row r="193" spans="1:10" x14ac:dyDescent="0.35">
      <c r="A193">
        <v>192</v>
      </c>
      <c r="B193">
        <v>37</v>
      </c>
      <c r="C193" t="s">
        <v>23</v>
      </c>
      <c r="D193">
        <v>58000</v>
      </c>
      <c r="E193" t="s">
        <v>15</v>
      </c>
      <c r="F193">
        <v>420</v>
      </c>
      <c r="G193">
        <v>6.8</v>
      </c>
      <c r="H193" t="s">
        <v>17</v>
      </c>
      <c r="I193" t="s">
        <v>5</v>
      </c>
      <c r="J193">
        <v>20</v>
      </c>
    </row>
    <row r="194" spans="1:10" x14ac:dyDescent="0.35">
      <c r="A194">
        <v>193</v>
      </c>
      <c r="B194">
        <v>46</v>
      </c>
      <c r="C194" t="s">
        <v>18</v>
      </c>
      <c r="D194">
        <v>66000</v>
      </c>
      <c r="E194" t="s">
        <v>19</v>
      </c>
      <c r="F194">
        <v>510</v>
      </c>
      <c r="G194">
        <v>8.1</v>
      </c>
      <c r="H194" t="s">
        <v>20</v>
      </c>
      <c r="I194" t="s">
        <v>3</v>
      </c>
      <c r="J194">
        <v>22</v>
      </c>
    </row>
    <row r="195" spans="1:10" x14ac:dyDescent="0.35">
      <c r="A195">
        <v>194</v>
      </c>
      <c r="B195">
        <v>33</v>
      </c>
      <c r="C195" t="s">
        <v>14</v>
      </c>
      <c r="D195">
        <v>53000</v>
      </c>
      <c r="E195" t="s">
        <v>15</v>
      </c>
      <c r="F195">
        <v>380</v>
      </c>
      <c r="G195">
        <v>6</v>
      </c>
      <c r="H195" t="s">
        <v>17</v>
      </c>
      <c r="I195" t="s">
        <v>4</v>
      </c>
      <c r="J195">
        <v>18</v>
      </c>
    </row>
    <row r="196" spans="1:10" x14ac:dyDescent="0.35">
      <c r="A196">
        <v>195</v>
      </c>
      <c r="B196">
        <v>52</v>
      </c>
      <c r="C196" t="s">
        <v>18</v>
      </c>
      <c r="D196">
        <v>72000</v>
      </c>
      <c r="E196" t="s">
        <v>19</v>
      </c>
      <c r="F196">
        <v>610</v>
      </c>
      <c r="G196">
        <v>9.1999999999999993</v>
      </c>
      <c r="H196" t="s">
        <v>20</v>
      </c>
      <c r="I196" t="s">
        <v>5</v>
      </c>
      <c r="J196">
        <v>26</v>
      </c>
    </row>
    <row r="197" spans="1:10" x14ac:dyDescent="0.35">
      <c r="A197">
        <v>196</v>
      </c>
      <c r="B197">
        <v>28</v>
      </c>
      <c r="C197" t="s">
        <v>14</v>
      </c>
      <c r="D197">
        <v>46000</v>
      </c>
      <c r="E197" t="s">
        <v>15</v>
      </c>
      <c r="F197">
        <v>250</v>
      </c>
      <c r="G197">
        <v>4.2</v>
      </c>
      <c r="H197" t="s">
        <v>16</v>
      </c>
      <c r="I197" t="s">
        <v>3</v>
      </c>
      <c r="J197">
        <v>14</v>
      </c>
    </row>
    <row r="198" spans="1:10" x14ac:dyDescent="0.35">
      <c r="A198">
        <v>197</v>
      </c>
      <c r="B198">
        <v>41</v>
      </c>
      <c r="C198" t="s">
        <v>23</v>
      </c>
      <c r="D198">
        <v>61000</v>
      </c>
      <c r="E198" t="s">
        <v>19</v>
      </c>
      <c r="F198">
        <v>480</v>
      </c>
      <c r="G198">
        <v>7.8</v>
      </c>
      <c r="H198" t="s">
        <v>17</v>
      </c>
      <c r="I198" t="s">
        <v>4</v>
      </c>
      <c r="J198">
        <v>21</v>
      </c>
    </row>
    <row r="199" spans="1:10" x14ac:dyDescent="0.35">
      <c r="A199">
        <v>198</v>
      </c>
      <c r="B199">
        <v>50</v>
      </c>
      <c r="C199" t="s">
        <v>18</v>
      </c>
      <c r="D199">
        <v>70000</v>
      </c>
      <c r="E199" t="s">
        <v>19</v>
      </c>
      <c r="F199">
        <v>600</v>
      </c>
      <c r="G199">
        <v>9</v>
      </c>
      <c r="H199" t="s">
        <v>20</v>
      </c>
      <c r="I199" t="s">
        <v>5</v>
      </c>
      <c r="J199">
        <v>25</v>
      </c>
    </row>
    <row r="200" spans="1:10" x14ac:dyDescent="0.35">
      <c r="A200">
        <v>199</v>
      </c>
      <c r="B200">
        <v>36</v>
      </c>
      <c r="C200" t="s">
        <v>23</v>
      </c>
      <c r="D200">
        <v>54000</v>
      </c>
      <c r="E200" t="s">
        <v>15</v>
      </c>
      <c r="F200">
        <v>400</v>
      </c>
      <c r="G200">
        <v>6.5</v>
      </c>
      <c r="H200" t="s">
        <v>17</v>
      </c>
      <c r="I200" t="s">
        <v>3</v>
      </c>
      <c r="J200">
        <v>19</v>
      </c>
    </row>
    <row r="201" spans="1:10" x14ac:dyDescent="0.35">
      <c r="A201">
        <v>200</v>
      </c>
      <c r="B201">
        <v>24</v>
      </c>
      <c r="C201" t="s">
        <v>21</v>
      </c>
      <c r="D201">
        <v>32000</v>
      </c>
      <c r="E201" t="s">
        <v>22</v>
      </c>
      <c r="F201">
        <v>170</v>
      </c>
      <c r="G201">
        <v>3.3</v>
      </c>
      <c r="H201" t="s">
        <v>16</v>
      </c>
      <c r="I201" t="s">
        <v>4</v>
      </c>
      <c r="J201">
        <v>11</v>
      </c>
    </row>
    <row r="202" spans="1:10" x14ac:dyDescent="0.35">
      <c r="A202">
        <v>201</v>
      </c>
      <c r="B202">
        <v>49</v>
      </c>
      <c r="C202" t="s">
        <v>18</v>
      </c>
      <c r="D202">
        <v>69000</v>
      </c>
      <c r="E202" t="s">
        <v>19</v>
      </c>
      <c r="F202">
        <v>590</v>
      </c>
      <c r="G202">
        <v>8.9</v>
      </c>
      <c r="H202" t="s">
        <v>20</v>
      </c>
      <c r="I202" t="s">
        <v>5</v>
      </c>
      <c r="J202">
        <v>24</v>
      </c>
    </row>
    <row r="203" spans="1:10" x14ac:dyDescent="0.35">
      <c r="A203">
        <v>202</v>
      </c>
      <c r="B203">
        <v>26</v>
      </c>
      <c r="C203" t="s">
        <v>14</v>
      </c>
      <c r="D203">
        <v>44000</v>
      </c>
      <c r="E203" t="s">
        <v>15</v>
      </c>
      <c r="F203">
        <v>240</v>
      </c>
      <c r="G203">
        <v>4.3</v>
      </c>
      <c r="H203" t="s">
        <v>16</v>
      </c>
      <c r="I203" t="s">
        <v>3</v>
      </c>
      <c r="J203">
        <v>14</v>
      </c>
    </row>
    <row r="204" spans="1:10" x14ac:dyDescent="0.35">
      <c r="A204">
        <v>203</v>
      </c>
      <c r="B204">
        <v>45</v>
      </c>
      <c r="C204" t="s">
        <v>18</v>
      </c>
      <c r="D204">
        <v>65000</v>
      </c>
      <c r="E204" t="s">
        <v>19</v>
      </c>
      <c r="F204">
        <v>500</v>
      </c>
      <c r="G204">
        <v>8</v>
      </c>
      <c r="H204" t="s">
        <v>20</v>
      </c>
      <c r="I204" t="s">
        <v>4</v>
      </c>
      <c r="J204">
        <v>22</v>
      </c>
    </row>
    <row r="205" spans="1:10" x14ac:dyDescent="0.35">
      <c r="A205">
        <v>204</v>
      </c>
      <c r="B205">
        <v>40</v>
      </c>
      <c r="C205" t="s">
        <v>23</v>
      </c>
      <c r="D205">
        <v>60000</v>
      </c>
      <c r="E205" t="s">
        <v>19</v>
      </c>
      <c r="F205">
        <v>450</v>
      </c>
      <c r="G205">
        <v>7.2</v>
      </c>
      <c r="H205" t="s">
        <v>17</v>
      </c>
      <c r="I205" t="s">
        <v>5</v>
      </c>
      <c r="J205">
        <v>20</v>
      </c>
    </row>
    <row r="206" spans="1:10" x14ac:dyDescent="0.35">
      <c r="A206">
        <v>205</v>
      </c>
      <c r="B206">
        <v>38</v>
      </c>
      <c r="C206" t="s">
        <v>23</v>
      </c>
      <c r="D206">
        <v>59000</v>
      </c>
      <c r="E206" t="s">
        <v>15</v>
      </c>
      <c r="F206">
        <v>430</v>
      </c>
      <c r="G206">
        <v>6.9</v>
      </c>
      <c r="H206" t="s">
        <v>17</v>
      </c>
      <c r="I206" t="s">
        <v>3</v>
      </c>
      <c r="J206">
        <v>20</v>
      </c>
    </row>
    <row r="207" spans="1:10" x14ac:dyDescent="0.35">
      <c r="A207">
        <v>206</v>
      </c>
      <c r="B207">
        <v>54</v>
      </c>
      <c r="C207" t="s">
        <v>18</v>
      </c>
      <c r="D207">
        <v>74000</v>
      </c>
      <c r="E207" t="s">
        <v>19</v>
      </c>
      <c r="F207">
        <v>630</v>
      </c>
      <c r="G207">
        <v>9.4</v>
      </c>
      <c r="H207" t="s">
        <v>20</v>
      </c>
      <c r="I207" t="s">
        <v>4</v>
      </c>
      <c r="J207">
        <v>27</v>
      </c>
    </row>
    <row r="208" spans="1:10" x14ac:dyDescent="0.35">
      <c r="A208">
        <v>207</v>
      </c>
      <c r="B208">
        <v>32</v>
      </c>
      <c r="C208" t="s">
        <v>14</v>
      </c>
      <c r="D208">
        <v>52000</v>
      </c>
      <c r="E208" t="s">
        <v>15</v>
      </c>
      <c r="F208">
        <v>360</v>
      </c>
      <c r="G208">
        <v>5.8</v>
      </c>
      <c r="H208" t="s">
        <v>17</v>
      </c>
      <c r="I208" t="s">
        <v>5</v>
      </c>
      <c r="J208">
        <v>18</v>
      </c>
    </row>
    <row r="209" spans="1:10" x14ac:dyDescent="0.35">
      <c r="A209">
        <v>208</v>
      </c>
      <c r="B209">
        <v>31</v>
      </c>
      <c r="C209" t="s">
        <v>14</v>
      </c>
      <c r="D209">
        <v>51000</v>
      </c>
      <c r="E209" t="s">
        <v>15</v>
      </c>
      <c r="F209">
        <v>340</v>
      </c>
      <c r="G209">
        <v>5.6</v>
      </c>
      <c r="H209" t="s">
        <v>17</v>
      </c>
      <c r="I209" t="s">
        <v>3</v>
      </c>
      <c r="J209">
        <v>17</v>
      </c>
    </row>
    <row r="210" spans="1:10" x14ac:dyDescent="0.35">
      <c r="A210">
        <v>209</v>
      </c>
      <c r="B210">
        <v>42</v>
      </c>
      <c r="C210" t="s">
        <v>23</v>
      </c>
      <c r="D210">
        <v>62000</v>
      </c>
      <c r="E210" t="s">
        <v>19</v>
      </c>
      <c r="F210">
        <v>520</v>
      </c>
      <c r="G210">
        <v>8.1999999999999993</v>
      </c>
      <c r="H210" t="s">
        <v>20</v>
      </c>
      <c r="I210" t="s">
        <v>4</v>
      </c>
      <c r="J210">
        <v>23</v>
      </c>
    </row>
    <row r="211" spans="1:10" x14ac:dyDescent="0.35">
      <c r="A211">
        <v>210</v>
      </c>
      <c r="B211">
        <v>55</v>
      </c>
      <c r="C211" t="s">
        <v>18</v>
      </c>
      <c r="D211">
        <v>75000</v>
      </c>
      <c r="E211" t="s">
        <v>19</v>
      </c>
      <c r="F211">
        <v>640</v>
      </c>
      <c r="G211">
        <v>9.5</v>
      </c>
      <c r="H211" t="s">
        <v>20</v>
      </c>
      <c r="I211" t="s">
        <v>5</v>
      </c>
      <c r="J211">
        <v>28</v>
      </c>
    </row>
    <row r="212" spans="1:10" x14ac:dyDescent="0.35">
      <c r="A212">
        <v>211</v>
      </c>
      <c r="B212">
        <v>29</v>
      </c>
      <c r="C212" t="s">
        <v>14</v>
      </c>
      <c r="D212">
        <v>46000</v>
      </c>
      <c r="E212" t="s">
        <v>15</v>
      </c>
      <c r="F212">
        <v>270</v>
      </c>
      <c r="G212">
        <v>4.3</v>
      </c>
      <c r="H212" t="s">
        <v>16</v>
      </c>
      <c r="I212" t="s">
        <v>3</v>
      </c>
      <c r="J212">
        <v>15</v>
      </c>
    </row>
    <row r="213" spans="1:10" x14ac:dyDescent="0.35">
      <c r="A213">
        <v>212</v>
      </c>
      <c r="B213">
        <v>33</v>
      </c>
      <c r="C213" t="s">
        <v>14</v>
      </c>
      <c r="D213">
        <v>53000</v>
      </c>
      <c r="E213" t="s">
        <v>15</v>
      </c>
      <c r="F213">
        <v>380</v>
      </c>
      <c r="G213">
        <v>6</v>
      </c>
      <c r="H213" t="s">
        <v>17</v>
      </c>
      <c r="I213" t="s">
        <v>4</v>
      </c>
      <c r="J213">
        <v>18</v>
      </c>
    </row>
    <row r="214" spans="1:10" x14ac:dyDescent="0.35">
      <c r="A214">
        <v>213</v>
      </c>
      <c r="B214">
        <v>51</v>
      </c>
      <c r="C214" t="s">
        <v>18</v>
      </c>
      <c r="D214">
        <v>71000</v>
      </c>
      <c r="E214" t="s">
        <v>19</v>
      </c>
      <c r="F214">
        <v>600</v>
      </c>
      <c r="G214">
        <v>9</v>
      </c>
      <c r="H214" t="s">
        <v>20</v>
      </c>
      <c r="I214" t="s">
        <v>5</v>
      </c>
      <c r="J214">
        <v>25</v>
      </c>
    </row>
    <row r="215" spans="1:10" x14ac:dyDescent="0.35">
      <c r="A215">
        <v>214</v>
      </c>
      <c r="B215">
        <v>27</v>
      </c>
      <c r="C215" t="s">
        <v>14</v>
      </c>
      <c r="D215">
        <v>43000</v>
      </c>
      <c r="E215" t="s">
        <v>15</v>
      </c>
      <c r="F215">
        <v>230</v>
      </c>
      <c r="G215">
        <v>4</v>
      </c>
      <c r="H215" t="s">
        <v>16</v>
      </c>
      <c r="I215" t="s">
        <v>3</v>
      </c>
      <c r="J215">
        <v>14</v>
      </c>
    </row>
    <row r="216" spans="1:10" x14ac:dyDescent="0.35">
      <c r="A216">
        <v>215</v>
      </c>
      <c r="B216">
        <v>43</v>
      </c>
      <c r="C216" t="s">
        <v>23</v>
      </c>
      <c r="D216">
        <v>63000</v>
      </c>
      <c r="E216" t="s">
        <v>19</v>
      </c>
      <c r="F216">
        <v>470</v>
      </c>
      <c r="G216">
        <v>7.8</v>
      </c>
      <c r="H216" t="s">
        <v>17</v>
      </c>
      <c r="I216" t="s">
        <v>4</v>
      </c>
      <c r="J216">
        <v>21</v>
      </c>
    </row>
    <row r="217" spans="1:10" x14ac:dyDescent="0.35">
      <c r="A217">
        <v>216</v>
      </c>
      <c r="B217">
        <v>41</v>
      </c>
      <c r="C217" t="s">
        <v>23</v>
      </c>
      <c r="D217">
        <v>61000</v>
      </c>
      <c r="E217" t="s">
        <v>19</v>
      </c>
      <c r="F217">
        <v>480</v>
      </c>
      <c r="G217">
        <v>7.7</v>
      </c>
      <c r="H217" t="s">
        <v>17</v>
      </c>
      <c r="I217" t="s">
        <v>5</v>
      </c>
      <c r="J217">
        <v>22</v>
      </c>
    </row>
    <row r="218" spans="1:10" x14ac:dyDescent="0.35">
      <c r="A218">
        <v>217</v>
      </c>
      <c r="B218">
        <v>50</v>
      </c>
      <c r="C218" t="s">
        <v>18</v>
      </c>
      <c r="D218">
        <v>70000</v>
      </c>
      <c r="E218" t="s">
        <v>19</v>
      </c>
      <c r="F218">
        <v>600</v>
      </c>
      <c r="G218">
        <v>9</v>
      </c>
      <c r="H218" t="s">
        <v>20</v>
      </c>
      <c r="I218" t="s">
        <v>3</v>
      </c>
      <c r="J218">
        <v>25</v>
      </c>
    </row>
    <row r="219" spans="1:10" x14ac:dyDescent="0.35">
      <c r="A219">
        <v>218</v>
      </c>
      <c r="B219">
        <v>24</v>
      </c>
      <c r="C219" t="s">
        <v>21</v>
      </c>
      <c r="D219">
        <v>32000</v>
      </c>
      <c r="E219" t="s">
        <v>22</v>
      </c>
      <c r="F219">
        <v>170</v>
      </c>
      <c r="G219">
        <v>3.3</v>
      </c>
      <c r="H219" t="s">
        <v>16</v>
      </c>
      <c r="I219" t="s">
        <v>4</v>
      </c>
      <c r="J219">
        <v>11</v>
      </c>
    </row>
    <row r="220" spans="1:10" x14ac:dyDescent="0.35">
      <c r="A220">
        <v>219</v>
      </c>
      <c r="B220">
        <v>48</v>
      </c>
      <c r="C220" t="s">
        <v>18</v>
      </c>
      <c r="D220">
        <v>68000</v>
      </c>
      <c r="E220" t="s">
        <v>19</v>
      </c>
      <c r="F220">
        <v>550</v>
      </c>
      <c r="G220">
        <v>8.5</v>
      </c>
      <c r="H220" t="s">
        <v>20</v>
      </c>
      <c r="I220" t="s">
        <v>5</v>
      </c>
      <c r="J220">
        <v>24</v>
      </c>
    </row>
    <row r="221" spans="1:10" x14ac:dyDescent="0.35">
      <c r="A221">
        <v>220</v>
      </c>
      <c r="B221">
        <v>30</v>
      </c>
      <c r="C221" t="s">
        <v>14</v>
      </c>
      <c r="D221">
        <v>49000</v>
      </c>
      <c r="E221" t="s">
        <v>15</v>
      </c>
      <c r="F221">
        <v>300</v>
      </c>
      <c r="G221">
        <v>5</v>
      </c>
      <c r="H221" t="s">
        <v>17</v>
      </c>
      <c r="I221" t="s">
        <v>3</v>
      </c>
      <c r="J221">
        <v>16</v>
      </c>
    </row>
    <row r="222" spans="1:10" x14ac:dyDescent="0.35">
      <c r="A222">
        <v>221</v>
      </c>
      <c r="B222">
        <v>39</v>
      </c>
      <c r="C222" t="s">
        <v>23</v>
      </c>
      <c r="D222">
        <v>57000</v>
      </c>
      <c r="E222" t="s">
        <v>15</v>
      </c>
      <c r="F222">
        <v>440</v>
      </c>
      <c r="G222">
        <v>7</v>
      </c>
      <c r="H222" t="s">
        <v>17</v>
      </c>
      <c r="I222" t="s">
        <v>4</v>
      </c>
      <c r="J222">
        <v>21</v>
      </c>
    </row>
    <row r="223" spans="1:10" x14ac:dyDescent="0.35">
      <c r="A223">
        <v>222</v>
      </c>
      <c r="B223">
        <v>37</v>
      </c>
      <c r="C223" t="s">
        <v>23</v>
      </c>
      <c r="D223">
        <v>58000</v>
      </c>
      <c r="E223" t="s">
        <v>15</v>
      </c>
      <c r="F223">
        <v>420</v>
      </c>
      <c r="G223">
        <v>6.8</v>
      </c>
      <c r="H223" t="s">
        <v>17</v>
      </c>
      <c r="I223" t="s">
        <v>5</v>
      </c>
      <c r="J223">
        <v>20</v>
      </c>
    </row>
    <row r="224" spans="1:10" x14ac:dyDescent="0.35">
      <c r="A224">
        <v>223</v>
      </c>
      <c r="B224">
        <v>46</v>
      </c>
      <c r="C224" t="s">
        <v>18</v>
      </c>
      <c r="D224">
        <v>66000</v>
      </c>
      <c r="E224" t="s">
        <v>19</v>
      </c>
      <c r="F224">
        <v>510</v>
      </c>
      <c r="G224">
        <v>8.1</v>
      </c>
      <c r="H224" t="s">
        <v>20</v>
      </c>
      <c r="I224" t="s">
        <v>3</v>
      </c>
      <c r="J224">
        <v>22</v>
      </c>
    </row>
    <row r="225" spans="1:10" x14ac:dyDescent="0.35">
      <c r="A225">
        <v>224</v>
      </c>
      <c r="B225">
        <v>33</v>
      </c>
      <c r="C225" t="s">
        <v>14</v>
      </c>
      <c r="D225">
        <v>53000</v>
      </c>
      <c r="E225" t="s">
        <v>15</v>
      </c>
      <c r="F225">
        <v>380</v>
      </c>
      <c r="G225">
        <v>6</v>
      </c>
      <c r="H225" t="s">
        <v>17</v>
      </c>
      <c r="I225" t="s">
        <v>4</v>
      </c>
      <c r="J225">
        <v>18</v>
      </c>
    </row>
    <row r="226" spans="1:10" x14ac:dyDescent="0.35">
      <c r="A226">
        <v>225</v>
      </c>
      <c r="B226">
        <v>52</v>
      </c>
      <c r="C226" t="s">
        <v>18</v>
      </c>
      <c r="D226">
        <v>72000</v>
      </c>
      <c r="E226" t="s">
        <v>19</v>
      </c>
      <c r="F226">
        <v>610</v>
      </c>
      <c r="G226">
        <v>9.1999999999999993</v>
      </c>
      <c r="H226" t="s">
        <v>20</v>
      </c>
      <c r="I226" t="s">
        <v>5</v>
      </c>
      <c r="J226">
        <v>26</v>
      </c>
    </row>
    <row r="227" spans="1:10" x14ac:dyDescent="0.35">
      <c r="A227">
        <v>226</v>
      </c>
      <c r="B227">
        <v>28</v>
      </c>
      <c r="C227" t="s">
        <v>14</v>
      </c>
      <c r="D227">
        <v>46000</v>
      </c>
      <c r="E227" t="s">
        <v>15</v>
      </c>
      <c r="F227">
        <v>250</v>
      </c>
      <c r="G227">
        <v>4.2</v>
      </c>
      <c r="H227" t="s">
        <v>16</v>
      </c>
      <c r="I227" t="s">
        <v>3</v>
      </c>
      <c r="J227">
        <v>14</v>
      </c>
    </row>
    <row r="228" spans="1:10" x14ac:dyDescent="0.35">
      <c r="A228">
        <v>227</v>
      </c>
      <c r="B228">
        <v>41</v>
      </c>
      <c r="C228" t="s">
        <v>23</v>
      </c>
      <c r="D228">
        <v>61000</v>
      </c>
      <c r="E228" t="s">
        <v>19</v>
      </c>
      <c r="F228">
        <v>480</v>
      </c>
      <c r="G228">
        <v>7.8</v>
      </c>
      <c r="H228" t="s">
        <v>17</v>
      </c>
      <c r="I228" t="s">
        <v>4</v>
      </c>
      <c r="J228">
        <v>21</v>
      </c>
    </row>
    <row r="229" spans="1:10" x14ac:dyDescent="0.35">
      <c r="A229">
        <v>228</v>
      </c>
      <c r="B229">
        <v>50</v>
      </c>
      <c r="C229" t="s">
        <v>18</v>
      </c>
      <c r="D229">
        <v>70000</v>
      </c>
      <c r="E229" t="s">
        <v>19</v>
      </c>
      <c r="F229">
        <v>600</v>
      </c>
      <c r="G229">
        <v>9</v>
      </c>
      <c r="H229" t="s">
        <v>20</v>
      </c>
      <c r="I229" t="s">
        <v>5</v>
      </c>
      <c r="J229">
        <v>25</v>
      </c>
    </row>
    <row r="230" spans="1:10" x14ac:dyDescent="0.35">
      <c r="A230">
        <v>229</v>
      </c>
      <c r="B230">
        <v>36</v>
      </c>
      <c r="C230" t="s">
        <v>23</v>
      </c>
      <c r="D230">
        <v>54000</v>
      </c>
      <c r="E230" t="s">
        <v>15</v>
      </c>
      <c r="F230">
        <v>400</v>
      </c>
      <c r="G230">
        <v>6.5</v>
      </c>
      <c r="H230" t="s">
        <v>17</v>
      </c>
      <c r="I230" t="s">
        <v>3</v>
      </c>
      <c r="J230">
        <v>19</v>
      </c>
    </row>
    <row r="231" spans="1:10" x14ac:dyDescent="0.35">
      <c r="A231">
        <v>230</v>
      </c>
      <c r="B231">
        <v>24</v>
      </c>
      <c r="C231" t="s">
        <v>21</v>
      </c>
      <c r="D231">
        <v>32000</v>
      </c>
      <c r="E231" t="s">
        <v>22</v>
      </c>
      <c r="F231">
        <v>170</v>
      </c>
      <c r="G231">
        <v>3.3</v>
      </c>
      <c r="H231" t="s">
        <v>16</v>
      </c>
      <c r="I231" t="s">
        <v>4</v>
      </c>
      <c r="J231">
        <v>11</v>
      </c>
    </row>
    <row r="232" spans="1:10" x14ac:dyDescent="0.35">
      <c r="A232">
        <v>231</v>
      </c>
      <c r="B232">
        <v>49</v>
      </c>
      <c r="C232" t="s">
        <v>18</v>
      </c>
      <c r="D232">
        <v>69000</v>
      </c>
      <c r="E232" t="s">
        <v>19</v>
      </c>
      <c r="F232">
        <v>590</v>
      </c>
      <c r="G232">
        <v>8.9</v>
      </c>
      <c r="H232" t="s">
        <v>20</v>
      </c>
      <c r="I232" t="s">
        <v>5</v>
      </c>
      <c r="J232">
        <v>24</v>
      </c>
    </row>
    <row r="233" spans="1:10" x14ac:dyDescent="0.35">
      <c r="A233">
        <v>232</v>
      </c>
      <c r="B233">
        <v>26</v>
      </c>
      <c r="C233" t="s">
        <v>14</v>
      </c>
      <c r="D233">
        <v>44000</v>
      </c>
      <c r="E233" t="s">
        <v>15</v>
      </c>
      <c r="F233">
        <v>240</v>
      </c>
      <c r="G233">
        <v>4.3</v>
      </c>
      <c r="H233" t="s">
        <v>16</v>
      </c>
      <c r="I233" t="s">
        <v>3</v>
      </c>
      <c r="J233">
        <v>14</v>
      </c>
    </row>
    <row r="234" spans="1:10" x14ac:dyDescent="0.35">
      <c r="A234">
        <v>233</v>
      </c>
      <c r="B234">
        <v>45</v>
      </c>
      <c r="C234" t="s">
        <v>18</v>
      </c>
      <c r="D234">
        <v>65000</v>
      </c>
      <c r="E234" t="s">
        <v>19</v>
      </c>
      <c r="F234">
        <v>500</v>
      </c>
      <c r="G234">
        <v>8</v>
      </c>
      <c r="H234" t="s">
        <v>20</v>
      </c>
      <c r="I234" t="s">
        <v>4</v>
      </c>
      <c r="J234">
        <v>22</v>
      </c>
    </row>
    <row r="235" spans="1:10" x14ac:dyDescent="0.35">
      <c r="A235">
        <v>234</v>
      </c>
      <c r="B235">
        <v>40</v>
      </c>
      <c r="C235" t="s">
        <v>23</v>
      </c>
      <c r="D235">
        <v>60000</v>
      </c>
      <c r="E235" t="s">
        <v>19</v>
      </c>
      <c r="F235">
        <v>450</v>
      </c>
      <c r="G235">
        <v>7.2</v>
      </c>
      <c r="H235" t="s">
        <v>17</v>
      </c>
      <c r="I235" t="s">
        <v>5</v>
      </c>
      <c r="J235">
        <v>20</v>
      </c>
    </row>
    <row r="236" spans="1:10" x14ac:dyDescent="0.35">
      <c r="A236">
        <v>235</v>
      </c>
      <c r="B236">
        <v>38</v>
      </c>
      <c r="C236" t="s">
        <v>23</v>
      </c>
      <c r="D236">
        <v>59000</v>
      </c>
      <c r="E236" t="s">
        <v>15</v>
      </c>
      <c r="F236">
        <v>430</v>
      </c>
      <c r="G236">
        <v>6.9</v>
      </c>
      <c r="H236" t="s">
        <v>17</v>
      </c>
      <c r="I236" t="s">
        <v>3</v>
      </c>
      <c r="J236">
        <v>20</v>
      </c>
    </row>
    <row r="237" spans="1:10" x14ac:dyDescent="0.35">
      <c r="A237">
        <v>236</v>
      </c>
      <c r="B237">
        <v>54</v>
      </c>
      <c r="C237" t="s">
        <v>18</v>
      </c>
      <c r="D237">
        <v>74000</v>
      </c>
      <c r="E237" t="s">
        <v>19</v>
      </c>
      <c r="F237">
        <v>630</v>
      </c>
      <c r="G237">
        <v>9.4</v>
      </c>
      <c r="H237" t="s">
        <v>20</v>
      </c>
      <c r="I237" t="s">
        <v>4</v>
      </c>
      <c r="J237">
        <v>27</v>
      </c>
    </row>
    <row r="238" spans="1:10" x14ac:dyDescent="0.35">
      <c r="A238">
        <v>237</v>
      </c>
      <c r="B238">
        <v>32</v>
      </c>
      <c r="C238" t="s">
        <v>14</v>
      </c>
      <c r="D238">
        <v>52000</v>
      </c>
      <c r="E238" t="s">
        <v>15</v>
      </c>
      <c r="F238">
        <v>360</v>
      </c>
      <c r="G238">
        <v>5.8</v>
      </c>
      <c r="H238" t="s">
        <v>17</v>
      </c>
      <c r="I238" t="s">
        <v>5</v>
      </c>
      <c r="J238">
        <v>18</v>
      </c>
    </row>
    <row r="239" spans="1:10" x14ac:dyDescent="0.35">
      <c r="A239">
        <v>238</v>
      </c>
      <c r="B239">
        <v>31</v>
      </c>
      <c r="D239">
        <v>51000</v>
      </c>
      <c r="E239" t="s">
        <v>15</v>
      </c>
      <c r="F239">
        <v>340</v>
      </c>
      <c r="G239">
        <v>5.6</v>
      </c>
      <c r="H239" t="s">
        <v>17</v>
      </c>
      <c r="I239" t="s">
        <v>3</v>
      </c>
      <c r="J239">
        <v>17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928A-8B6D-4952-B071-51BDE5D9ACA9}">
  <dimension ref="A1:J239"/>
  <sheetViews>
    <sheetView workbookViewId="0">
      <selection activeCell="F12" sqref="F12"/>
    </sheetView>
  </sheetViews>
  <sheetFormatPr defaultRowHeight="14.5" x14ac:dyDescent="0.35"/>
  <cols>
    <col min="1" max="1" width="9.1796875" bestFit="1" customWidth="1"/>
    <col min="2" max="2" width="6" bestFit="1" customWidth="1"/>
    <col min="3" max="3" width="10.7265625" bestFit="1" customWidth="1"/>
    <col min="4" max="4" width="16.08984375" bestFit="1" customWidth="1"/>
    <col min="5" max="5" width="14.08984375" bestFit="1" customWidth="1"/>
    <col min="6" max="6" width="18.26953125" bestFit="1" customWidth="1"/>
    <col min="7" max="7" width="13.1796875" bestFit="1" customWidth="1"/>
    <col min="8" max="8" width="18.26953125" bestFit="1" customWidth="1"/>
    <col min="9" max="9" width="8.26953125" bestFit="1" customWidth="1"/>
    <col min="10" max="10" width="20.36328125" bestFit="1" customWidth="1"/>
  </cols>
  <sheetData>
    <row r="1" spans="1:10" x14ac:dyDescent="0.35">
      <c r="A1" t="s">
        <v>13</v>
      </c>
      <c r="B1" t="s">
        <v>0</v>
      </c>
      <c r="C1" t="s">
        <v>7</v>
      </c>
      <c r="D1" t="s">
        <v>12</v>
      </c>
      <c r="E1" t="s">
        <v>8</v>
      </c>
      <c r="F1" t="s">
        <v>11</v>
      </c>
      <c r="G1" t="s">
        <v>9</v>
      </c>
      <c r="H1" t="s">
        <v>10</v>
      </c>
      <c r="I1" t="s">
        <v>1</v>
      </c>
      <c r="J1" t="s">
        <v>2</v>
      </c>
    </row>
    <row r="2" spans="1:10" x14ac:dyDescent="0.35">
      <c r="A2">
        <v>1</v>
      </c>
      <c r="B2">
        <v>25</v>
      </c>
      <c r="C2" t="s">
        <v>14</v>
      </c>
      <c r="D2">
        <v>45000</v>
      </c>
      <c r="E2" t="s">
        <v>15</v>
      </c>
      <c r="F2">
        <v>200</v>
      </c>
      <c r="G2">
        <v>4.5</v>
      </c>
      <c r="H2" t="s">
        <v>16</v>
      </c>
      <c r="I2" t="s">
        <v>3</v>
      </c>
      <c r="J2">
        <v>12</v>
      </c>
    </row>
    <row r="3" spans="1:10" x14ac:dyDescent="0.35">
      <c r="A3">
        <v>2</v>
      </c>
      <c r="B3">
        <v>34</v>
      </c>
      <c r="C3" t="s">
        <v>14</v>
      </c>
      <c r="D3">
        <v>55000</v>
      </c>
      <c r="E3" t="s">
        <v>15</v>
      </c>
      <c r="F3">
        <v>350</v>
      </c>
      <c r="G3">
        <v>7</v>
      </c>
      <c r="H3" t="s">
        <v>17</v>
      </c>
      <c r="I3" t="s">
        <v>4</v>
      </c>
      <c r="J3">
        <v>18</v>
      </c>
    </row>
    <row r="4" spans="1:10" x14ac:dyDescent="0.35">
      <c r="A4">
        <v>3</v>
      </c>
      <c r="B4">
        <v>45</v>
      </c>
      <c r="C4" t="s">
        <v>18</v>
      </c>
      <c r="D4">
        <v>65000</v>
      </c>
      <c r="E4" t="s">
        <v>19</v>
      </c>
      <c r="F4">
        <v>500</v>
      </c>
      <c r="G4">
        <v>8</v>
      </c>
      <c r="H4" t="s">
        <v>20</v>
      </c>
      <c r="I4" t="s">
        <v>5</v>
      </c>
      <c r="J4">
        <v>22</v>
      </c>
    </row>
    <row r="5" spans="1:10" x14ac:dyDescent="0.35">
      <c r="A5">
        <v>4</v>
      </c>
      <c r="B5">
        <v>22</v>
      </c>
      <c r="C5" t="s">
        <v>21</v>
      </c>
      <c r="D5">
        <v>30000</v>
      </c>
      <c r="E5" t="s">
        <v>22</v>
      </c>
      <c r="F5">
        <v>150</v>
      </c>
      <c r="G5">
        <v>3</v>
      </c>
      <c r="H5" t="s">
        <v>16</v>
      </c>
      <c r="I5" t="s">
        <v>6</v>
      </c>
      <c r="J5">
        <v>10</v>
      </c>
    </row>
    <row r="6" spans="1:10" x14ac:dyDescent="0.35">
      <c r="A6">
        <v>5</v>
      </c>
      <c r="B6">
        <v>29</v>
      </c>
      <c r="C6" t="s">
        <v>14</v>
      </c>
      <c r="D6">
        <v>47000</v>
      </c>
      <c r="E6" t="s">
        <v>15</v>
      </c>
      <c r="F6">
        <v>220</v>
      </c>
      <c r="G6">
        <v>4.8</v>
      </c>
      <c r="H6" t="s">
        <v>16</v>
      </c>
      <c r="I6" t="s">
        <v>3</v>
      </c>
      <c r="J6">
        <v>13</v>
      </c>
    </row>
    <row r="7" spans="1:10" x14ac:dyDescent="0.35">
      <c r="A7">
        <v>6</v>
      </c>
      <c r="B7">
        <v>41</v>
      </c>
      <c r="C7" t="s">
        <v>23</v>
      </c>
      <c r="D7">
        <v>61000</v>
      </c>
      <c r="E7" t="s">
        <v>19</v>
      </c>
      <c r="F7">
        <v>480</v>
      </c>
      <c r="G7">
        <v>7.8</v>
      </c>
      <c r="H7" t="s">
        <v>17</v>
      </c>
      <c r="I7" t="s">
        <v>4</v>
      </c>
      <c r="J7">
        <v>21</v>
      </c>
    </row>
    <row r="8" spans="1:10" x14ac:dyDescent="0.35">
      <c r="A8">
        <v>7</v>
      </c>
      <c r="B8">
        <v>36</v>
      </c>
      <c r="C8" t="s">
        <v>23</v>
      </c>
      <c r="D8">
        <v>54000</v>
      </c>
      <c r="E8" t="s">
        <v>15</v>
      </c>
      <c r="F8">
        <v>400</v>
      </c>
      <c r="G8">
        <v>6.5</v>
      </c>
      <c r="H8" t="s">
        <v>17</v>
      </c>
      <c r="I8" t="s">
        <v>5</v>
      </c>
      <c r="J8">
        <v>19</v>
      </c>
    </row>
    <row r="9" spans="1:10" x14ac:dyDescent="0.35">
      <c r="A9">
        <v>8</v>
      </c>
      <c r="B9">
        <v>27</v>
      </c>
      <c r="C9" t="s">
        <v>14</v>
      </c>
      <c r="D9">
        <v>43000</v>
      </c>
      <c r="E9" t="s">
        <v>15</v>
      </c>
      <c r="F9">
        <v>230</v>
      </c>
      <c r="G9">
        <v>4.2</v>
      </c>
      <c r="H9" t="s">
        <v>16</v>
      </c>
      <c r="I9" t="s">
        <v>6</v>
      </c>
      <c r="J9">
        <v>14</v>
      </c>
    </row>
    <row r="10" spans="1:10" x14ac:dyDescent="0.35">
      <c r="A10">
        <v>9</v>
      </c>
      <c r="B10">
        <v>50</v>
      </c>
      <c r="C10" t="s">
        <v>18</v>
      </c>
      <c r="D10">
        <v>70000</v>
      </c>
      <c r="E10" t="s">
        <v>19</v>
      </c>
      <c r="F10">
        <v>600</v>
      </c>
      <c r="G10">
        <v>9</v>
      </c>
      <c r="H10" t="s">
        <v>20</v>
      </c>
      <c r="I10" t="s">
        <v>3</v>
      </c>
      <c r="J10">
        <v>25</v>
      </c>
    </row>
    <row r="11" spans="1:10" x14ac:dyDescent="0.35">
      <c r="A11">
        <v>10</v>
      </c>
      <c r="B11">
        <v>31</v>
      </c>
      <c r="C11" t="s">
        <v>14</v>
      </c>
      <c r="D11">
        <v>50000</v>
      </c>
      <c r="E11" t="s">
        <v>15</v>
      </c>
      <c r="F11">
        <v>320</v>
      </c>
      <c r="G11">
        <v>5.5</v>
      </c>
      <c r="H11" t="s">
        <v>17</v>
      </c>
      <c r="I11" t="s">
        <v>4</v>
      </c>
      <c r="J11">
        <v>17</v>
      </c>
    </row>
    <row r="12" spans="1:10" x14ac:dyDescent="0.35">
      <c r="A12">
        <v>11</v>
      </c>
      <c r="B12">
        <v>28</v>
      </c>
      <c r="C12" t="s">
        <v>14</v>
      </c>
      <c r="D12">
        <v>46000</v>
      </c>
      <c r="E12" t="s">
        <v>15</v>
      </c>
      <c r="F12">
        <v>250</v>
      </c>
      <c r="G12">
        <v>4.4000000000000004</v>
      </c>
      <c r="H12" t="s">
        <v>16</v>
      </c>
      <c r="I12" t="s">
        <v>5</v>
      </c>
      <c r="J12">
        <v>15</v>
      </c>
    </row>
    <row r="13" spans="1:10" x14ac:dyDescent="0.35">
      <c r="A13">
        <v>12</v>
      </c>
      <c r="B13">
        <v>42</v>
      </c>
      <c r="C13" t="s">
        <v>23</v>
      </c>
      <c r="D13">
        <v>62000</v>
      </c>
      <c r="E13" t="s">
        <v>19</v>
      </c>
      <c r="F13">
        <v>520</v>
      </c>
      <c r="G13">
        <v>8.1999999999999993</v>
      </c>
      <c r="H13" t="s">
        <v>20</v>
      </c>
      <c r="I13" t="s">
        <v>3</v>
      </c>
      <c r="J13">
        <v>23</v>
      </c>
    </row>
    <row r="14" spans="1:10" x14ac:dyDescent="0.35">
      <c r="A14">
        <v>13</v>
      </c>
      <c r="B14">
        <v>33</v>
      </c>
      <c r="C14" t="s">
        <v>14</v>
      </c>
      <c r="D14">
        <v>53000</v>
      </c>
      <c r="E14" t="s">
        <v>15</v>
      </c>
      <c r="F14">
        <v>380</v>
      </c>
      <c r="G14">
        <v>6</v>
      </c>
      <c r="H14" t="s">
        <v>17</v>
      </c>
      <c r="I14" t="s">
        <v>4</v>
      </c>
      <c r="J14">
        <v>18</v>
      </c>
    </row>
    <row r="15" spans="1:10" x14ac:dyDescent="0.35">
      <c r="A15">
        <v>14</v>
      </c>
      <c r="B15">
        <v>37</v>
      </c>
      <c r="C15" t="s">
        <v>23</v>
      </c>
      <c r="D15">
        <v>58000</v>
      </c>
      <c r="E15" t="s">
        <v>15</v>
      </c>
      <c r="F15">
        <v>420</v>
      </c>
      <c r="G15">
        <v>6.8</v>
      </c>
      <c r="H15" t="s">
        <v>17</v>
      </c>
      <c r="I15" t="s">
        <v>6</v>
      </c>
      <c r="J15">
        <v>20</v>
      </c>
    </row>
    <row r="16" spans="1:10" x14ac:dyDescent="0.35">
      <c r="A16">
        <v>15</v>
      </c>
      <c r="B16">
        <v>49</v>
      </c>
      <c r="C16" t="s">
        <v>18</v>
      </c>
      <c r="D16">
        <v>69000</v>
      </c>
      <c r="E16" t="s">
        <v>19</v>
      </c>
      <c r="F16">
        <v>590</v>
      </c>
      <c r="G16">
        <v>8.9</v>
      </c>
      <c r="H16" t="s">
        <v>20</v>
      </c>
      <c r="I16" t="s">
        <v>5</v>
      </c>
      <c r="J16">
        <v>24</v>
      </c>
    </row>
    <row r="17" spans="1:10" x14ac:dyDescent="0.35">
      <c r="A17">
        <v>16</v>
      </c>
      <c r="B17">
        <v>23</v>
      </c>
      <c r="C17" t="s">
        <v>21</v>
      </c>
      <c r="D17">
        <v>31000</v>
      </c>
      <c r="E17" t="s">
        <v>22</v>
      </c>
      <c r="F17">
        <v>160</v>
      </c>
      <c r="G17">
        <v>3.2</v>
      </c>
      <c r="H17" t="s">
        <v>16</v>
      </c>
      <c r="I17" t="s">
        <v>3</v>
      </c>
      <c r="J17">
        <v>11</v>
      </c>
    </row>
    <row r="18" spans="1:10" x14ac:dyDescent="0.35">
      <c r="A18">
        <v>17</v>
      </c>
      <c r="B18">
        <v>39</v>
      </c>
      <c r="C18" t="s">
        <v>23</v>
      </c>
      <c r="D18">
        <v>57000</v>
      </c>
      <c r="E18" t="s">
        <v>15</v>
      </c>
      <c r="F18">
        <v>440</v>
      </c>
      <c r="G18">
        <v>7</v>
      </c>
      <c r="H18" t="s">
        <v>17</v>
      </c>
      <c r="I18" t="s">
        <v>4</v>
      </c>
      <c r="J18">
        <v>21</v>
      </c>
    </row>
    <row r="19" spans="1:10" x14ac:dyDescent="0.35">
      <c r="A19">
        <v>18</v>
      </c>
      <c r="B19">
        <v>30</v>
      </c>
      <c r="C19" t="s">
        <v>14</v>
      </c>
      <c r="D19">
        <v>49000</v>
      </c>
      <c r="E19" t="s">
        <v>15</v>
      </c>
      <c r="F19">
        <v>300</v>
      </c>
      <c r="G19">
        <v>5</v>
      </c>
      <c r="H19" t="s">
        <v>17</v>
      </c>
      <c r="I19" t="s">
        <v>5</v>
      </c>
      <c r="J19">
        <v>16</v>
      </c>
    </row>
    <row r="20" spans="1:10" x14ac:dyDescent="0.35">
      <c r="A20">
        <v>19</v>
      </c>
      <c r="B20">
        <v>46</v>
      </c>
      <c r="C20" t="s">
        <v>18</v>
      </c>
      <c r="D20">
        <v>66000</v>
      </c>
      <c r="E20" t="s">
        <v>19</v>
      </c>
      <c r="F20">
        <v>510</v>
      </c>
      <c r="G20">
        <v>8.1</v>
      </c>
      <c r="H20" t="s">
        <v>20</v>
      </c>
      <c r="I20" t="s">
        <v>3</v>
      </c>
      <c r="J20">
        <v>22</v>
      </c>
    </row>
    <row r="21" spans="1:10" x14ac:dyDescent="0.35">
      <c r="A21">
        <v>20</v>
      </c>
      <c r="B21">
        <v>26</v>
      </c>
      <c r="C21" t="s">
        <v>14</v>
      </c>
      <c r="D21">
        <v>44000</v>
      </c>
      <c r="E21" t="s">
        <v>15</v>
      </c>
      <c r="F21">
        <v>240</v>
      </c>
      <c r="G21">
        <v>4.3</v>
      </c>
      <c r="H21" t="s">
        <v>16</v>
      </c>
      <c r="I21" t="s">
        <v>6</v>
      </c>
      <c r="J21">
        <v>14</v>
      </c>
    </row>
    <row r="22" spans="1:10" x14ac:dyDescent="0.35">
      <c r="A22">
        <v>21</v>
      </c>
      <c r="B22">
        <v>52</v>
      </c>
      <c r="C22" t="s">
        <v>18</v>
      </c>
      <c r="D22">
        <v>72000</v>
      </c>
      <c r="E22" t="s">
        <v>19</v>
      </c>
      <c r="F22">
        <v>610</v>
      </c>
      <c r="G22">
        <v>9.1999999999999993</v>
      </c>
      <c r="H22" t="s">
        <v>20</v>
      </c>
      <c r="I22" t="s">
        <v>4</v>
      </c>
      <c r="J22">
        <v>26</v>
      </c>
    </row>
    <row r="23" spans="1:10" x14ac:dyDescent="0.35">
      <c r="A23">
        <v>22</v>
      </c>
      <c r="B23">
        <v>24</v>
      </c>
      <c r="C23" t="s">
        <v>21</v>
      </c>
      <c r="D23">
        <v>32000</v>
      </c>
      <c r="E23" t="s">
        <v>22</v>
      </c>
      <c r="F23">
        <v>170</v>
      </c>
      <c r="G23">
        <v>3.3</v>
      </c>
      <c r="H23" t="s">
        <v>16</v>
      </c>
      <c r="I23" t="s">
        <v>5</v>
      </c>
      <c r="J23">
        <v>12</v>
      </c>
    </row>
    <row r="24" spans="1:10" x14ac:dyDescent="0.35">
      <c r="A24">
        <v>23</v>
      </c>
      <c r="B24">
        <v>44</v>
      </c>
      <c r="C24" t="s">
        <v>23</v>
      </c>
      <c r="D24">
        <v>63000</v>
      </c>
      <c r="E24" t="s">
        <v>19</v>
      </c>
      <c r="F24">
        <v>460</v>
      </c>
      <c r="G24">
        <v>7.5</v>
      </c>
      <c r="H24" t="s">
        <v>17</v>
      </c>
      <c r="I24" t="s">
        <v>3</v>
      </c>
      <c r="J24">
        <v>21</v>
      </c>
    </row>
    <row r="25" spans="1:10" x14ac:dyDescent="0.35">
      <c r="A25">
        <v>24</v>
      </c>
      <c r="B25">
        <v>35</v>
      </c>
      <c r="C25" t="s">
        <v>23</v>
      </c>
      <c r="D25">
        <v>56000</v>
      </c>
      <c r="E25" t="s">
        <v>15</v>
      </c>
      <c r="F25">
        <v>390</v>
      </c>
      <c r="G25">
        <v>6.2</v>
      </c>
      <c r="H25" t="s">
        <v>17</v>
      </c>
      <c r="I25" t="s">
        <v>4</v>
      </c>
      <c r="J25">
        <v>19</v>
      </c>
    </row>
    <row r="26" spans="1:10" x14ac:dyDescent="0.35">
      <c r="A26">
        <v>25</v>
      </c>
      <c r="B26">
        <v>38</v>
      </c>
      <c r="C26" t="s">
        <v>23</v>
      </c>
      <c r="D26">
        <v>59000</v>
      </c>
      <c r="E26" t="s">
        <v>15</v>
      </c>
      <c r="F26">
        <v>430</v>
      </c>
      <c r="G26">
        <v>6.9</v>
      </c>
      <c r="H26" t="s">
        <v>17</v>
      </c>
      <c r="I26" t="s">
        <v>6</v>
      </c>
      <c r="J26">
        <v>20</v>
      </c>
    </row>
    <row r="27" spans="1:10" x14ac:dyDescent="0.35">
      <c r="A27">
        <v>26</v>
      </c>
      <c r="B27">
        <v>47</v>
      </c>
      <c r="C27" t="s">
        <v>18</v>
      </c>
      <c r="D27">
        <v>67000</v>
      </c>
      <c r="E27" t="s">
        <v>19</v>
      </c>
      <c r="F27">
        <v>530</v>
      </c>
      <c r="G27">
        <v>8.3000000000000007</v>
      </c>
      <c r="H27" t="s">
        <v>20</v>
      </c>
      <c r="I27" t="s">
        <v>5</v>
      </c>
      <c r="J27">
        <v>23</v>
      </c>
    </row>
    <row r="28" spans="1:10" x14ac:dyDescent="0.35">
      <c r="A28">
        <v>27</v>
      </c>
      <c r="B28">
        <v>32</v>
      </c>
      <c r="C28" t="s">
        <v>14</v>
      </c>
      <c r="D28">
        <v>52000</v>
      </c>
      <c r="E28" t="s">
        <v>15</v>
      </c>
      <c r="F28">
        <v>360</v>
      </c>
      <c r="G28">
        <v>5.8</v>
      </c>
      <c r="H28" t="s">
        <v>17</v>
      </c>
      <c r="I28" t="s">
        <v>3</v>
      </c>
      <c r="J28">
        <v>18</v>
      </c>
    </row>
    <row r="29" spans="1:10" x14ac:dyDescent="0.35">
      <c r="A29">
        <v>28</v>
      </c>
      <c r="B29">
        <v>29</v>
      </c>
      <c r="C29" t="s">
        <v>14</v>
      </c>
      <c r="D29">
        <v>48000</v>
      </c>
      <c r="E29" t="s">
        <v>15</v>
      </c>
      <c r="F29">
        <v>280</v>
      </c>
      <c r="G29">
        <v>4.5999999999999996</v>
      </c>
      <c r="H29" t="s">
        <v>16</v>
      </c>
      <c r="I29" t="s">
        <v>4</v>
      </c>
      <c r="J29">
        <v>15</v>
      </c>
    </row>
    <row r="30" spans="1:10" x14ac:dyDescent="0.35">
      <c r="A30">
        <v>29</v>
      </c>
      <c r="B30">
        <v>51</v>
      </c>
      <c r="C30" t="s">
        <v>18</v>
      </c>
      <c r="D30">
        <v>71000</v>
      </c>
      <c r="E30" t="s">
        <v>19</v>
      </c>
      <c r="F30">
        <v>600</v>
      </c>
      <c r="G30">
        <v>9</v>
      </c>
      <c r="H30" t="s">
        <v>20</v>
      </c>
      <c r="I30" t="s">
        <v>5</v>
      </c>
      <c r="J30">
        <v>25</v>
      </c>
    </row>
    <row r="31" spans="1:10" x14ac:dyDescent="0.35">
      <c r="A31">
        <v>30</v>
      </c>
      <c r="B31">
        <v>40</v>
      </c>
      <c r="C31" t="s">
        <v>23</v>
      </c>
      <c r="D31">
        <v>60000</v>
      </c>
      <c r="E31" t="s">
        <v>19</v>
      </c>
      <c r="F31">
        <v>450</v>
      </c>
      <c r="G31">
        <v>7.2</v>
      </c>
      <c r="H31" t="s">
        <v>17</v>
      </c>
      <c r="I31" t="s">
        <v>6</v>
      </c>
      <c r="J31">
        <v>22</v>
      </c>
    </row>
    <row r="32" spans="1:10" x14ac:dyDescent="0.35">
      <c r="A32">
        <v>31</v>
      </c>
      <c r="B32">
        <v>34</v>
      </c>
      <c r="C32" t="s">
        <v>14</v>
      </c>
      <c r="D32">
        <v>55000</v>
      </c>
      <c r="E32" t="s">
        <v>15</v>
      </c>
      <c r="F32">
        <v>350</v>
      </c>
      <c r="G32">
        <v>6.5</v>
      </c>
      <c r="H32" t="s">
        <v>17</v>
      </c>
      <c r="I32" t="s">
        <v>3</v>
      </c>
      <c r="J32">
        <v>19</v>
      </c>
    </row>
    <row r="33" spans="1:10" x14ac:dyDescent="0.35">
      <c r="A33">
        <v>32</v>
      </c>
      <c r="B33">
        <v>43</v>
      </c>
      <c r="C33" t="s">
        <v>23</v>
      </c>
      <c r="D33">
        <v>64000</v>
      </c>
      <c r="E33" t="s">
        <v>19</v>
      </c>
      <c r="F33">
        <v>470</v>
      </c>
      <c r="G33">
        <v>7.8</v>
      </c>
      <c r="H33" t="s">
        <v>17</v>
      </c>
      <c r="I33" t="s">
        <v>4</v>
      </c>
      <c r="J33">
        <v>21</v>
      </c>
    </row>
    <row r="34" spans="1:10" x14ac:dyDescent="0.35">
      <c r="A34">
        <v>33</v>
      </c>
      <c r="B34">
        <v>31</v>
      </c>
      <c r="C34" t="s">
        <v>14</v>
      </c>
      <c r="D34">
        <v>50000</v>
      </c>
      <c r="E34" t="s">
        <v>15</v>
      </c>
      <c r="F34">
        <v>320</v>
      </c>
      <c r="G34">
        <v>5.5</v>
      </c>
      <c r="H34" t="s">
        <v>17</v>
      </c>
      <c r="I34" t="s">
        <v>5</v>
      </c>
      <c r="J34">
        <v>16</v>
      </c>
    </row>
    <row r="35" spans="1:10" x14ac:dyDescent="0.35">
      <c r="A35">
        <v>34</v>
      </c>
      <c r="B35">
        <v>27</v>
      </c>
      <c r="C35" t="s">
        <v>14</v>
      </c>
      <c r="D35">
        <v>43000</v>
      </c>
      <c r="E35" t="s">
        <v>15</v>
      </c>
      <c r="F35">
        <v>230</v>
      </c>
      <c r="G35">
        <v>4</v>
      </c>
      <c r="H35" t="s">
        <v>16</v>
      </c>
      <c r="I35" t="s">
        <v>3</v>
      </c>
      <c r="J35">
        <v>14</v>
      </c>
    </row>
    <row r="36" spans="1:10" x14ac:dyDescent="0.35">
      <c r="A36">
        <v>35</v>
      </c>
      <c r="B36">
        <v>55</v>
      </c>
      <c r="C36" t="s">
        <v>18</v>
      </c>
      <c r="D36">
        <v>75000</v>
      </c>
      <c r="E36" t="s">
        <v>19</v>
      </c>
      <c r="F36">
        <v>640</v>
      </c>
      <c r="G36">
        <v>9.5</v>
      </c>
      <c r="H36" t="s">
        <v>20</v>
      </c>
      <c r="I36" t="s">
        <v>4</v>
      </c>
      <c r="J36">
        <v>28</v>
      </c>
    </row>
    <row r="37" spans="1:10" x14ac:dyDescent="0.35">
      <c r="A37">
        <v>36</v>
      </c>
      <c r="B37">
        <v>25</v>
      </c>
      <c r="C37" t="s">
        <v>14</v>
      </c>
      <c r="D37">
        <v>45000</v>
      </c>
      <c r="E37" t="s">
        <v>15</v>
      </c>
      <c r="F37">
        <v>200</v>
      </c>
      <c r="G37">
        <v>4.5</v>
      </c>
      <c r="H37" t="s">
        <v>16</v>
      </c>
      <c r="I37" t="s">
        <v>5</v>
      </c>
      <c r="J37">
        <v>12</v>
      </c>
    </row>
    <row r="38" spans="1:10" x14ac:dyDescent="0.35">
      <c r="A38">
        <v>37</v>
      </c>
      <c r="B38">
        <v>48</v>
      </c>
      <c r="C38" t="s">
        <v>18</v>
      </c>
      <c r="D38">
        <v>68000</v>
      </c>
      <c r="E38" t="s">
        <v>19</v>
      </c>
      <c r="F38">
        <v>550</v>
      </c>
      <c r="G38">
        <v>8.5</v>
      </c>
      <c r="H38" t="s">
        <v>20</v>
      </c>
      <c r="I38" t="s">
        <v>3</v>
      </c>
      <c r="J38">
        <v>24</v>
      </c>
    </row>
    <row r="39" spans="1:10" x14ac:dyDescent="0.35">
      <c r="A39">
        <v>38</v>
      </c>
      <c r="B39">
        <v>30</v>
      </c>
      <c r="C39" t="s">
        <v>14</v>
      </c>
      <c r="D39">
        <v>49000</v>
      </c>
      <c r="E39" t="s">
        <v>15</v>
      </c>
      <c r="F39">
        <v>300</v>
      </c>
      <c r="G39">
        <v>5</v>
      </c>
      <c r="H39" t="s">
        <v>17</v>
      </c>
      <c r="I39" t="s">
        <v>4</v>
      </c>
      <c r="J39">
        <v>17</v>
      </c>
    </row>
    <row r="40" spans="1:10" x14ac:dyDescent="0.35">
      <c r="A40">
        <v>39</v>
      </c>
      <c r="B40">
        <v>53</v>
      </c>
      <c r="C40" t="s">
        <v>18</v>
      </c>
      <c r="D40">
        <v>73000</v>
      </c>
      <c r="E40" t="s">
        <v>19</v>
      </c>
      <c r="F40">
        <v>620</v>
      </c>
      <c r="G40">
        <v>9.3000000000000007</v>
      </c>
      <c r="H40" t="s">
        <v>20</v>
      </c>
      <c r="I40" t="s">
        <v>5</v>
      </c>
      <c r="J40">
        <v>27</v>
      </c>
    </row>
    <row r="41" spans="1:10" x14ac:dyDescent="0.35">
      <c r="A41">
        <v>40</v>
      </c>
      <c r="B41">
        <v>28</v>
      </c>
      <c r="C41" t="s">
        <v>14</v>
      </c>
      <c r="D41">
        <v>46000</v>
      </c>
      <c r="E41" t="s">
        <v>15</v>
      </c>
      <c r="F41">
        <v>250</v>
      </c>
      <c r="G41">
        <v>4.2</v>
      </c>
      <c r="H41" t="s">
        <v>16</v>
      </c>
      <c r="I41" t="s">
        <v>3</v>
      </c>
      <c r="J41">
        <v>14</v>
      </c>
    </row>
    <row r="42" spans="1:10" x14ac:dyDescent="0.35">
      <c r="A42">
        <v>41</v>
      </c>
      <c r="B42">
        <v>39</v>
      </c>
      <c r="C42" t="s">
        <v>23</v>
      </c>
      <c r="D42">
        <v>57000</v>
      </c>
      <c r="E42" t="s">
        <v>15</v>
      </c>
      <c r="F42">
        <v>440</v>
      </c>
      <c r="G42">
        <v>7</v>
      </c>
      <c r="H42" t="s">
        <v>17</v>
      </c>
      <c r="I42" t="s">
        <v>4</v>
      </c>
      <c r="J42">
        <v>21</v>
      </c>
    </row>
    <row r="43" spans="1:10" x14ac:dyDescent="0.35">
      <c r="A43">
        <v>42</v>
      </c>
      <c r="B43">
        <v>37</v>
      </c>
      <c r="C43" t="s">
        <v>23</v>
      </c>
      <c r="D43">
        <v>58000</v>
      </c>
      <c r="E43" t="s">
        <v>15</v>
      </c>
      <c r="F43">
        <v>420</v>
      </c>
      <c r="G43">
        <v>6.8</v>
      </c>
      <c r="H43" t="s">
        <v>17</v>
      </c>
      <c r="I43" t="s">
        <v>5</v>
      </c>
      <c r="J43">
        <v>20</v>
      </c>
    </row>
    <row r="44" spans="1:10" x14ac:dyDescent="0.35">
      <c r="A44">
        <v>43</v>
      </c>
      <c r="B44">
        <v>46</v>
      </c>
      <c r="C44" t="s">
        <v>18</v>
      </c>
      <c r="D44">
        <v>66000</v>
      </c>
      <c r="E44" t="s">
        <v>19</v>
      </c>
      <c r="F44">
        <v>510</v>
      </c>
      <c r="G44">
        <v>8.1</v>
      </c>
      <c r="H44" t="s">
        <v>20</v>
      </c>
      <c r="I44" t="s">
        <v>3</v>
      </c>
      <c r="J44">
        <v>22</v>
      </c>
    </row>
    <row r="45" spans="1:10" x14ac:dyDescent="0.35">
      <c r="A45">
        <v>44</v>
      </c>
      <c r="B45">
        <v>33</v>
      </c>
      <c r="C45" t="s">
        <v>14</v>
      </c>
      <c r="D45">
        <v>53000</v>
      </c>
      <c r="E45" t="s">
        <v>15</v>
      </c>
      <c r="F45">
        <v>380</v>
      </c>
      <c r="G45">
        <v>6</v>
      </c>
      <c r="H45" t="s">
        <v>17</v>
      </c>
      <c r="I45" t="s">
        <v>4</v>
      </c>
      <c r="J45">
        <v>18</v>
      </c>
    </row>
    <row r="46" spans="1:10" x14ac:dyDescent="0.35">
      <c r="A46">
        <v>45</v>
      </c>
      <c r="B46">
        <v>52</v>
      </c>
      <c r="C46" t="s">
        <v>18</v>
      </c>
      <c r="D46">
        <v>72000</v>
      </c>
      <c r="E46" t="s">
        <v>19</v>
      </c>
      <c r="F46">
        <v>610</v>
      </c>
      <c r="G46">
        <v>9.1999999999999993</v>
      </c>
      <c r="H46" t="s">
        <v>20</v>
      </c>
      <c r="I46" t="s">
        <v>5</v>
      </c>
      <c r="J46">
        <v>26</v>
      </c>
    </row>
    <row r="47" spans="1:10" x14ac:dyDescent="0.35">
      <c r="A47">
        <v>46</v>
      </c>
      <c r="B47">
        <v>29</v>
      </c>
      <c r="C47" t="s">
        <v>14</v>
      </c>
      <c r="D47">
        <v>47000</v>
      </c>
      <c r="E47" t="s">
        <v>15</v>
      </c>
      <c r="F47">
        <v>220</v>
      </c>
      <c r="G47">
        <v>4.4000000000000004</v>
      </c>
      <c r="H47" t="s">
        <v>16</v>
      </c>
      <c r="I47" t="s">
        <v>3</v>
      </c>
      <c r="J47">
        <v>13</v>
      </c>
    </row>
    <row r="48" spans="1:10" x14ac:dyDescent="0.35">
      <c r="A48">
        <v>47</v>
      </c>
      <c r="B48">
        <v>41</v>
      </c>
      <c r="C48" t="s">
        <v>23</v>
      </c>
      <c r="D48">
        <v>61000</v>
      </c>
      <c r="E48" t="s">
        <v>19</v>
      </c>
      <c r="F48">
        <v>480</v>
      </c>
      <c r="G48">
        <v>7.8</v>
      </c>
      <c r="H48" t="s">
        <v>17</v>
      </c>
      <c r="I48" t="s">
        <v>4</v>
      </c>
      <c r="J48">
        <v>21</v>
      </c>
    </row>
    <row r="49" spans="1:10" x14ac:dyDescent="0.35">
      <c r="A49">
        <v>48</v>
      </c>
      <c r="B49">
        <v>50</v>
      </c>
      <c r="C49" t="s">
        <v>18</v>
      </c>
      <c r="D49">
        <v>70000</v>
      </c>
      <c r="E49" t="s">
        <v>19</v>
      </c>
      <c r="F49">
        <v>600</v>
      </c>
      <c r="G49">
        <v>9</v>
      </c>
      <c r="H49" t="s">
        <v>20</v>
      </c>
      <c r="I49" t="s">
        <v>5</v>
      </c>
      <c r="J49">
        <v>25</v>
      </c>
    </row>
    <row r="50" spans="1:10" x14ac:dyDescent="0.35">
      <c r="A50">
        <v>49</v>
      </c>
      <c r="B50">
        <v>36</v>
      </c>
      <c r="C50" t="s">
        <v>23</v>
      </c>
      <c r="D50">
        <v>54000</v>
      </c>
      <c r="E50" t="s">
        <v>15</v>
      </c>
      <c r="F50">
        <v>400</v>
      </c>
      <c r="G50">
        <v>6.5</v>
      </c>
      <c r="H50" t="s">
        <v>17</v>
      </c>
      <c r="I50" t="s">
        <v>3</v>
      </c>
      <c r="J50">
        <v>19</v>
      </c>
    </row>
    <row r="51" spans="1:10" x14ac:dyDescent="0.35">
      <c r="A51">
        <v>50</v>
      </c>
      <c r="B51">
        <v>24</v>
      </c>
      <c r="C51" t="s">
        <v>21</v>
      </c>
      <c r="D51">
        <v>32000</v>
      </c>
      <c r="E51" t="s">
        <v>22</v>
      </c>
      <c r="F51">
        <v>170</v>
      </c>
      <c r="G51">
        <v>3.3</v>
      </c>
      <c r="H51" t="s">
        <v>16</v>
      </c>
      <c r="I51" t="s">
        <v>4</v>
      </c>
      <c r="J51">
        <v>11</v>
      </c>
    </row>
    <row r="52" spans="1:10" x14ac:dyDescent="0.35">
      <c r="A52">
        <v>51</v>
      </c>
      <c r="B52">
        <v>49</v>
      </c>
      <c r="C52" t="s">
        <v>18</v>
      </c>
      <c r="D52">
        <v>69000</v>
      </c>
      <c r="E52" t="s">
        <v>19</v>
      </c>
      <c r="F52">
        <v>590</v>
      </c>
      <c r="G52">
        <v>8.9</v>
      </c>
      <c r="H52" t="s">
        <v>20</v>
      </c>
      <c r="I52" t="s">
        <v>5</v>
      </c>
      <c r="J52">
        <v>24</v>
      </c>
    </row>
    <row r="53" spans="1:10" x14ac:dyDescent="0.35">
      <c r="A53">
        <v>52</v>
      </c>
      <c r="B53">
        <v>26</v>
      </c>
      <c r="C53" t="s">
        <v>14</v>
      </c>
      <c r="D53">
        <v>44000</v>
      </c>
      <c r="E53" t="s">
        <v>15</v>
      </c>
      <c r="F53">
        <v>240</v>
      </c>
      <c r="G53">
        <v>4.3</v>
      </c>
      <c r="H53" t="s">
        <v>16</v>
      </c>
      <c r="I53" t="s">
        <v>3</v>
      </c>
      <c r="J53">
        <v>14</v>
      </c>
    </row>
    <row r="54" spans="1:10" x14ac:dyDescent="0.35">
      <c r="A54">
        <v>53</v>
      </c>
      <c r="B54">
        <v>45</v>
      </c>
      <c r="C54" t="s">
        <v>18</v>
      </c>
      <c r="D54">
        <v>65000</v>
      </c>
      <c r="E54" t="s">
        <v>19</v>
      </c>
      <c r="F54">
        <v>500</v>
      </c>
      <c r="G54">
        <v>8</v>
      </c>
      <c r="H54" t="s">
        <v>20</v>
      </c>
      <c r="I54" t="s">
        <v>4</v>
      </c>
      <c r="J54">
        <v>22</v>
      </c>
    </row>
    <row r="55" spans="1:10" x14ac:dyDescent="0.35">
      <c r="A55">
        <v>54</v>
      </c>
      <c r="B55">
        <v>40</v>
      </c>
      <c r="C55" t="s">
        <v>23</v>
      </c>
      <c r="D55">
        <v>60000</v>
      </c>
      <c r="E55" t="s">
        <v>19</v>
      </c>
      <c r="F55">
        <v>450</v>
      </c>
      <c r="G55">
        <v>7.2</v>
      </c>
      <c r="H55" t="s">
        <v>17</v>
      </c>
      <c r="I55" t="s">
        <v>5</v>
      </c>
      <c r="J55">
        <v>20</v>
      </c>
    </row>
    <row r="56" spans="1:10" x14ac:dyDescent="0.35">
      <c r="A56">
        <v>55</v>
      </c>
      <c r="B56">
        <v>38</v>
      </c>
      <c r="C56" t="s">
        <v>23</v>
      </c>
      <c r="D56">
        <v>59000</v>
      </c>
      <c r="E56" t="s">
        <v>15</v>
      </c>
      <c r="F56">
        <v>430</v>
      </c>
      <c r="G56">
        <v>6.9</v>
      </c>
      <c r="H56" t="s">
        <v>17</v>
      </c>
      <c r="I56" t="s">
        <v>3</v>
      </c>
      <c r="J56">
        <v>20</v>
      </c>
    </row>
    <row r="57" spans="1:10" x14ac:dyDescent="0.35">
      <c r="A57">
        <v>56</v>
      </c>
      <c r="B57">
        <v>54</v>
      </c>
      <c r="C57" t="s">
        <v>18</v>
      </c>
      <c r="D57">
        <v>74000</v>
      </c>
      <c r="E57" t="s">
        <v>19</v>
      </c>
      <c r="F57">
        <v>630</v>
      </c>
      <c r="G57">
        <v>9.4</v>
      </c>
      <c r="H57" t="s">
        <v>20</v>
      </c>
      <c r="I57" t="s">
        <v>4</v>
      </c>
      <c r="J57">
        <v>27</v>
      </c>
    </row>
    <row r="58" spans="1:10" x14ac:dyDescent="0.35">
      <c r="A58">
        <v>57</v>
      </c>
      <c r="B58">
        <v>32</v>
      </c>
      <c r="C58" t="s">
        <v>14</v>
      </c>
      <c r="D58">
        <v>52000</v>
      </c>
      <c r="E58" t="s">
        <v>15</v>
      </c>
      <c r="F58">
        <v>360</v>
      </c>
      <c r="G58">
        <v>5.8</v>
      </c>
      <c r="H58" t="s">
        <v>17</v>
      </c>
      <c r="I58" t="s">
        <v>5</v>
      </c>
      <c r="J58">
        <v>18</v>
      </c>
    </row>
    <row r="59" spans="1:10" x14ac:dyDescent="0.35">
      <c r="A59">
        <v>58</v>
      </c>
      <c r="B59">
        <v>31</v>
      </c>
      <c r="C59" t="s">
        <v>14</v>
      </c>
      <c r="D59">
        <v>51000</v>
      </c>
      <c r="E59" t="s">
        <v>15</v>
      </c>
      <c r="F59">
        <v>340</v>
      </c>
      <c r="G59">
        <v>5.6</v>
      </c>
      <c r="H59" t="s">
        <v>17</v>
      </c>
      <c r="I59" t="s">
        <v>3</v>
      </c>
      <c r="J59">
        <v>17</v>
      </c>
    </row>
    <row r="60" spans="1:10" x14ac:dyDescent="0.35">
      <c r="A60">
        <v>59</v>
      </c>
      <c r="B60">
        <v>42</v>
      </c>
      <c r="C60" t="s">
        <v>23</v>
      </c>
      <c r="D60">
        <v>62000</v>
      </c>
      <c r="E60" t="s">
        <v>19</v>
      </c>
      <c r="F60">
        <v>520</v>
      </c>
      <c r="G60">
        <v>8.1999999999999993</v>
      </c>
      <c r="H60" t="s">
        <v>20</v>
      </c>
      <c r="I60" t="s">
        <v>4</v>
      </c>
      <c r="J60">
        <v>23</v>
      </c>
    </row>
    <row r="61" spans="1:10" x14ac:dyDescent="0.35">
      <c r="A61">
        <v>60</v>
      </c>
      <c r="B61">
        <v>55</v>
      </c>
      <c r="C61" t="s">
        <v>18</v>
      </c>
      <c r="D61">
        <v>75000</v>
      </c>
      <c r="E61" t="s">
        <v>19</v>
      </c>
      <c r="F61">
        <v>640</v>
      </c>
      <c r="G61">
        <v>9.5</v>
      </c>
      <c r="H61" t="s">
        <v>20</v>
      </c>
      <c r="I61" t="s">
        <v>5</v>
      </c>
      <c r="J61">
        <v>28</v>
      </c>
    </row>
    <row r="62" spans="1:10" x14ac:dyDescent="0.35">
      <c r="A62">
        <v>61</v>
      </c>
      <c r="B62">
        <v>29</v>
      </c>
      <c r="C62" t="s">
        <v>14</v>
      </c>
      <c r="D62">
        <v>46000</v>
      </c>
      <c r="E62" t="s">
        <v>15</v>
      </c>
      <c r="F62">
        <v>270</v>
      </c>
      <c r="G62">
        <v>4.3</v>
      </c>
      <c r="H62" t="s">
        <v>16</v>
      </c>
      <c r="I62" t="s">
        <v>3</v>
      </c>
      <c r="J62">
        <v>15</v>
      </c>
    </row>
    <row r="63" spans="1:10" x14ac:dyDescent="0.35">
      <c r="A63">
        <v>62</v>
      </c>
      <c r="B63">
        <v>33</v>
      </c>
      <c r="C63" t="s">
        <v>14</v>
      </c>
      <c r="D63">
        <v>53000</v>
      </c>
      <c r="E63" t="s">
        <v>15</v>
      </c>
      <c r="F63">
        <v>380</v>
      </c>
      <c r="G63">
        <v>6</v>
      </c>
      <c r="H63" t="s">
        <v>17</v>
      </c>
      <c r="I63" t="s">
        <v>4</v>
      </c>
      <c r="J63">
        <v>18</v>
      </c>
    </row>
    <row r="64" spans="1:10" x14ac:dyDescent="0.35">
      <c r="A64">
        <v>63</v>
      </c>
      <c r="B64">
        <v>51</v>
      </c>
      <c r="C64" t="s">
        <v>18</v>
      </c>
      <c r="D64">
        <v>71000</v>
      </c>
      <c r="E64" t="s">
        <v>19</v>
      </c>
      <c r="F64">
        <v>600</v>
      </c>
      <c r="G64">
        <v>9</v>
      </c>
      <c r="H64" t="s">
        <v>20</v>
      </c>
      <c r="I64" t="s">
        <v>5</v>
      </c>
      <c r="J64">
        <v>25</v>
      </c>
    </row>
    <row r="65" spans="1:10" x14ac:dyDescent="0.35">
      <c r="A65">
        <v>64</v>
      </c>
      <c r="B65">
        <v>27</v>
      </c>
      <c r="C65" t="s">
        <v>14</v>
      </c>
      <c r="D65">
        <v>43000</v>
      </c>
      <c r="E65" t="s">
        <v>15</v>
      </c>
      <c r="F65">
        <v>230</v>
      </c>
      <c r="G65">
        <v>4</v>
      </c>
      <c r="H65" t="s">
        <v>16</v>
      </c>
      <c r="I65" t="s">
        <v>3</v>
      </c>
      <c r="J65">
        <v>14</v>
      </c>
    </row>
    <row r="66" spans="1:10" x14ac:dyDescent="0.35">
      <c r="A66">
        <v>65</v>
      </c>
      <c r="B66">
        <v>43</v>
      </c>
      <c r="C66" t="s">
        <v>23</v>
      </c>
      <c r="D66">
        <v>63000</v>
      </c>
      <c r="E66" t="s">
        <v>19</v>
      </c>
      <c r="F66">
        <v>470</v>
      </c>
      <c r="G66">
        <v>7.8</v>
      </c>
      <c r="H66" t="s">
        <v>17</v>
      </c>
      <c r="I66" t="s">
        <v>4</v>
      </c>
      <c r="J66">
        <v>21</v>
      </c>
    </row>
    <row r="67" spans="1:10" x14ac:dyDescent="0.35">
      <c r="A67">
        <v>66</v>
      </c>
      <c r="B67">
        <v>41</v>
      </c>
      <c r="C67" t="s">
        <v>23</v>
      </c>
      <c r="D67">
        <v>61000</v>
      </c>
      <c r="E67" t="s">
        <v>19</v>
      </c>
      <c r="F67">
        <v>480</v>
      </c>
      <c r="G67">
        <v>7.7</v>
      </c>
      <c r="H67" t="s">
        <v>17</v>
      </c>
      <c r="I67" t="s">
        <v>5</v>
      </c>
      <c r="J67">
        <v>22</v>
      </c>
    </row>
    <row r="68" spans="1:10" x14ac:dyDescent="0.35">
      <c r="A68">
        <v>67</v>
      </c>
      <c r="B68">
        <v>50</v>
      </c>
      <c r="C68" t="s">
        <v>18</v>
      </c>
      <c r="D68">
        <v>70000</v>
      </c>
      <c r="E68" t="s">
        <v>19</v>
      </c>
      <c r="F68">
        <v>600</v>
      </c>
      <c r="G68">
        <v>9</v>
      </c>
      <c r="H68" t="s">
        <v>20</v>
      </c>
      <c r="I68" t="s">
        <v>3</v>
      </c>
      <c r="J68">
        <v>25</v>
      </c>
    </row>
    <row r="69" spans="1:10" x14ac:dyDescent="0.35">
      <c r="A69">
        <v>68</v>
      </c>
      <c r="B69">
        <v>24</v>
      </c>
      <c r="C69" t="s">
        <v>21</v>
      </c>
      <c r="D69">
        <v>32000</v>
      </c>
      <c r="E69" t="s">
        <v>22</v>
      </c>
      <c r="F69">
        <v>170</v>
      </c>
      <c r="G69">
        <v>3.3</v>
      </c>
      <c r="H69" t="s">
        <v>16</v>
      </c>
      <c r="I69" t="s">
        <v>4</v>
      </c>
      <c r="J69">
        <v>11</v>
      </c>
    </row>
    <row r="70" spans="1:10" x14ac:dyDescent="0.35">
      <c r="A70">
        <v>69</v>
      </c>
      <c r="B70">
        <v>48</v>
      </c>
      <c r="C70" t="s">
        <v>18</v>
      </c>
      <c r="D70">
        <v>68000</v>
      </c>
      <c r="E70" t="s">
        <v>19</v>
      </c>
      <c r="F70">
        <v>550</v>
      </c>
      <c r="G70">
        <v>8.5</v>
      </c>
      <c r="H70" t="s">
        <v>20</v>
      </c>
      <c r="I70" t="s">
        <v>5</v>
      </c>
      <c r="J70">
        <v>24</v>
      </c>
    </row>
    <row r="71" spans="1:10" x14ac:dyDescent="0.35">
      <c r="A71">
        <v>70</v>
      </c>
      <c r="B71">
        <v>30</v>
      </c>
      <c r="C71" t="s">
        <v>14</v>
      </c>
      <c r="D71">
        <v>49000</v>
      </c>
      <c r="E71" t="s">
        <v>15</v>
      </c>
      <c r="F71">
        <v>300</v>
      </c>
      <c r="G71">
        <v>5</v>
      </c>
      <c r="H71" t="s">
        <v>17</v>
      </c>
      <c r="I71" t="s">
        <v>3</v>
      </c>
      <c r="J71">
        <v>16</v>
      </c>
    </row>
    <row r="72" spans="1:10" x14ac:dyDescent="0.35">
      <c r="A72">
        <v>71</v>
      </c>
      <c r="B72">
        <v>39</v>
      </c>
      <c r="C72" t="s">
        <v>23</v>
      </c>
      <c r="D72">
        <v>57000</v>
      </c>
      <c r="E72" t="s">
        <v>15</v>
      </c>
      <c r="F72">
        <v>440</v>
      </c>
      <c r="G72">
        <v>7</v>
      </c>
      <c r="H72" t="s">
        <v>17</v>
      </c>
      <c r="I72" t="s">
        <v>4</v>
      </c>
      <c r="J72">
        <v>21</v>
      </c>
    </row>
    <row r="73" spans="1:10" x14ac:dyDescent="0.35">
      <c r="A73">
        <v>72</v>
      </c>
      <c r="B73">
        <v>37</v>
      </c>
      <c r="C73" t="s">
        <v>23</v>
      </c>
      <c r="D73">
        <v>58000</v>
      </c>
      <c r="E73" t="s">
        <v>15</v>
      </c>
      <c r="F73">
        <v>420</v>
      </c>
      <c r="G73">
        <v>6.8</v>
      </c>
      <c r="H73" t="s">
        <v>17</v>
      </c>
      <c r="I73" t="s">
        <v>5</v>
      </c>
      <c r="J73">
        <v>20</v>
      </c>
    </row>
    <row r="74" spans="1:10" x14ac:dyDescent="0.35">
      <c r="A74">
        <v>73</v>
      </c>
      <c r="B74">
        <v>46</v>
      </c>
      <c r="C74" t="s">
        <v>18</v>
      </c>
      <c r="D74">
        <v>66000</v>
      </c>
      <c r="E74" t="s">
        <v>19</v>
      </c>
      <c r="F74">
        <v>510</v>
      </c>
      <c r="G74">
        <v>8.1</v>
      </c>
      <c r="H74" t="s">
        <v>20</v>
      </c>
      <c r="I74" t="s">
        <v>3</v>
      </c>
      <c r="J74">
        <v>22</v>
      </c>
    </row>
    <row r="75" spans="1:10" x14ac:dyDescent="0.35">
      <c r="A75">
        <v>74</v>
      </c>
      <c r="B75">
        <v>33</v>
      </c>
      <c r="C75" t="s">
        <v>14</v>
      </c>
      <c r="D75">
        <v>53000</v>
      </c>
      <c r="E75" t="s">
        <v>15</v>
      </c>
      <c r="F75">
        <v>380</v>
      </c>
      <c r="G75">
        <v>6</v>
      </c>
      <c r="H75" t="s">
        <v>17</v>
      </c>
      <c r="I75" t="s">
        <v>4</v>
      </c>
      <c r="J75">
        <v>18</v>
      </c>
    </row>
    <row r="76" spans="1:10" x14ac:dyDescent="0.35">
      <c r="A76">
        <v>75</v>
      </c>
      <c r="B76">
        <v>52</v>
      </c>
      <c r="C76" t="s">
        <v>18</v>
      </c>
      <c r="D76">
        <v>72000</v>
      </c>
      <c r="E76" t="s">
        <v>19</v>
      </c>
      <c r="F76">
        <v>610</v>
      </c>
      <c r="G76">
        <v>9.1999999999999993</v>
      </c>
      <c r="H76" t="s">
        <v>20</v>
      </c>
      <c r="I76" t="s">
        <v>5</v>
      </c>
      <c r="J76">
        <v>26</v>
      </c>
    </row>
    <row r="77" spans="1:10" x14ac:dyDescent="0.35">
      <c r="A77">
        <v>76</v>
      </c>
      <c r="B77">
        <v>28</v>
      </c>
      <c r="C77" t="s">
        <v>14</v>
      </c>
      <c r="D77">
        <v>46000</v>
      </c>
      <c r="E77" t="s">
        <v>15</v>
      </c>
      <c r="F77">
        <v>250</v>
      </c>
      <c r="G77">
        <v>4.2</v>
      </c>
      <c r="H77" t="s">
        <v>16</v>
      </c>
      <c r="I77" t="s">
        <v>3</v>
      </c>
      <c r="J77">
        <v>14</v>
      </c>
    </row>
    <row r="78" spans="1:10" x14ac:dyDescent="0.35">
      <c r="A78">
        <v>77</v>
      </c>
      <c r="B78">
        <v>41</v>
      </c>
      <c r="C78" t="s">
        <v>23</v>
      </c>
      <c r="D78">
        <v>61000</v>
      </c>
      <c r="E78" t="s">
        <v>19</v>
      </c>
      <c r="F78">
        <v>480</v>
      </c>
      <c r="G78">
        <v>7.8</v>
      </c>
      <c r="H78" t="s">
        <v>17</v>
      </c>
      <c r="I78" t="s">
        <v>4</v>
      </c>
      <c r="J78">
        <v>21</v>
      </c>
    </row>
    <row r="79" spans="1:10" x14ac:dyDescent="0.35">
      <c r="A79">
        <v>78</v>
      </c>
      <c r="B79">
        <v>50</v>
      </c>
      <c r="C79" t="s">
        <v>18</v>
      </c>
      <c r="D79">
        <v>70000</v>
      </c>
      <c r="E79" t="s">
        <v>19</v>
      </c>
      <c r="F79">
        <v>600</v>
      </c>
      <c r="G79">
        <v>9</v>
      </c>
      <c r="H79" t="s">
        <v>20</v>
      </c>
      <c r="I79" t="s">
        <v>5</v>
      </c>
      <c r="J79">
        <v>25</v>
      </c>
    </row>
    <row r="80" spans="1:10" x14ac:dyDescent="0.35">
      <c r="A80">
        <v>79</v>
      </c>
      <c r="B80">
        <v>36</v>
      </c>
      <c r="C80" t="s">
        <v>23</v>
      </c>
      <c r="D80">
        <v>54000</v>
      </c>
      <c r="E80" t="s">
        <v>15</v>
      </c>
      <c r="F80">
        <v>400</v>
      </c>
      <c r="G80">
        <v>6.5</v>
      </c>
      <c r="H80" t="s">
        <v>17</v>
      </c>
      <c r="I80" t="s">
        <v>3</v>
      </c>
      <c r="J80">
        <v>19</v>
      </c>
    </row>
    <row r="81" spans="1:10" x14ac:dyDescent="0.35">
      <c r="A81">
        <v>80</v>
      </c>
      <c r="B81">
        <v>24</v>
      </c>
      <c r="C81" t="s">
        <v>21</v>
      </c>
      <c r="D81">
        <v>32000</v>
      </c>
      <c r="E81" t="s">
        <v>22</v>
      </c>
      <c r="F81">
        <v>170</v>
      </c>
      <c r="G81">
        <v>3.3</v>
      </c>
      <c r="H81" t="s">
        <v>16</v>
      </c>
      <c r="I81" t="s">
        <v>4</v>
      </c>
      <c r="J81">
        <v>11</v>
      </c>
    </row>
    <row r="82" spans="1:10" x14ac:dyDescent="0.35">
      <c r="A82">
        <v>81</v>
      </c>
      <c r="B82">
        <v>49</v>
      </c>
      <c r="C82" t="s">
        <v>18</v>
      </c>
      <c r="D82">
        <v>69000</v>
      </c>
      <c r="E82" t="s">
        <v>19</v>
      </c>
      <c r="F82">
        <v>590</v>
      </c>
      <c r="G82">
        <v>8.9</v>
      </c>
      <c r="H82" t="s">
        <v>20</v>
      </c>
      <c r="I82" t="s">
        <v>5</v>
      </c>
      <c r="J82">
        <v>24</v>
      </c>
    </row>
    <row r="83" spans="1:10" x14ac:dyDescent="0.35">
      <c r="A83">
        <v>82</v>
      </c>
      <c r="B83">
        <v>26</v>
      </c>
      <c r="C83" t="s">
        <v>14</v>
      </c>
      <c r="D83">
        <v>44000</v>
      </c>
      <c r="E83" t="s">
        <v>15</v>
      </c>
      <c r="F83">
        <v>240</v>
      </c>
      <c r="G83">
        <v>4.3</v>
      </c>
      <c r="H83" t="s">
        <v>16</v>
      </c>
      <c r="I83" t="s">
        <v>3</v>
      </c>
      <c r="J83">
        <v>14</v>
      </c>
    </row>
    <row r="84" spans="1:10" x14ac:dyDescent="0.35">
      <c r="A84">
        <v>83</v>
      </c>
      <c r="B84">
        <v>45</v>
      </c>
      <c r="C84" t="s">
        <v>18</v>
      </c>
      <c r="D84">
        <v>65000</v>
      </c>
      <c r="E84" t="s">
        <v>19</v>
      </c>
      <c r="F84">
        <v>500</v>
      </c>
      <c r="G84">
        <v>8</v>
      </c>
      <c r="H84" t="s">
        <v>20</v>
      </c>
      <c r="I84" t="s">
        <v>4</v>
      </c>
      <c r="J84">
        <v>22</v>
      </c>
    </row>
    <row r="85" spans="1:10" x14ac:dyDescent="0.35">
      <c r="A85">
        <v>84</v>
      </c>
      <c r="B85">
        <v>40</v>
      </c>
      <c r="C85" t="s">
        <v>23</v>
      </c>
      <c r="D85">
        <v>60000</v>
      </c>
      <c r="E85" t="s">
        <v>19</v>
      </c>
      <c r="F85">
        <v>450</v>
      </c>
      <c r="G85">
        <v>7.2</v>
      </c>
      <c r="H85" t="s">
        <v>17</v>
      </c>
      <c r="I85" t="s">
        <v>5</v>
      </c>
      <c r="J85">
        <v>20</v>
      </c>
    </row>
    <row r="86" spans="1:10" x14ac:dyDescent="0.35">
      <c r="A86">
        <v>85</v>
      </c>
      <c r="B86">
        <v>38</v>
      </c>
      <c r="C86" t="s">
        <v>23</v>
      </c>
      <c r="D86">
        <v>59000</v>
      </c>
      <c r="E86" t="s">
        <v>15</v>
      </c>
      <c r="F86">
        <v>430</v>
      </c>
      <c r="G86">
        <v>6.9</v>
      </c>
      <c r="H86" t="s">
        <v>17</v>
      </c>
      <c r="I86" t="s">
        <v>3</v>
      </c>
      <c r="J86">
        <v>20</v>
      </c>
    </row>
    <row r="87" spans="1:10" x14ac:dyDescent="0.35">
      <c r="A87">
        <v>86</v>
      </c>
      <c r="B87">
        <v>54</v>
      </c>
      <c r="C87" t="s">
        <v>18</v>
      </c>
      <c r="D87">
        <v>74000</v>
      </c>
      <c r="E87" t="s">
        <v>19</v>
      </c>
      <c r="F87">
        <v>630</v>
      </c>
      <c r="G87">
        <v>9.4</v>
      </c>
      <c r="H87" t="s">
        <v>20</v>
      </c>
      <c r="I87" t="s">
        <v>4</v>
      </c>
      <c r="J87">
        <v>27</v>
      </c>
    </row>
    <row r="88" spans="1:10" x14ac:dyDescent="0.35">
      <c r="A88">
        <v>87</v>
      </c>
      <c r="B88">
        <v>32</v>
      </c>
      <c r="C88" t="s">
        <v>14</v>
      </c>
      <c r="D88">
        <v>52000</v>
      </c>
      <c r="E88" t="s">
        <v>15</v>
      </c>
      <c r="F88">
        <v>360</v>
      </c>
      <c r="G88">
        <v>5.8</v>
      </c>
      <c r="H88" t="s">
        <v>17</v>
      </c>
      <c r="I88" t="s">
        <v>5</v>
      </c>
      <c r="J88">
        <v>18</v>
      </c>
    </row>
    <row r="89" spans="1:10" x14ac:dyDescent="0.35">
      <c r="A89">
        <v>88</v>
      </c>
      <c r="B89">
        <v>31</v>
      </c>
      <c r="C89" t="s">
        <v>14</v>
      </c>
      <c r="D89">
        <v>51000</v>
      </c>
      <c r="E89" t="s">
        <v>15</v>
      </c>
      <c r="F89">
        <v>340</v>
      </c>
      <c r="G89">
        <v>5.6</v>
      </c>
      <c r="H89" t="s">
        <v>17</v>
      </c>
      <c r="I89" t="s">
        <v>3</v>
      </c>
      <c r="J89">
        <v>17</v>
      </c>
    </row>
    <row r="90" spans="1:10" x14ac:dyDescent="0.35">
      <c r="A90">
        <v>89</v>
      </c>
      <c r="B90">
        <v>42</v>
      </c>
      <c r="C90" t="s">
        <v>23</v>
      </c>
      <c r="D90">
        <v>62000</v>
      </c>
      <c r="E90" t="s">
        <v>19</v>
      </c>
      <c r="F90">
        <v>520</v>
      </c>
      <c r="G90">
        <v>8.1999999999999993</v>
      </c>
      <c r="H90" t="s">
        <v>20</v>
      </c>
      <c r="I90" t="s">
        <v>4</v>
      </c>
      <c r="J90">
        <v>23</v>
      </c>
    </row>
    <row r="91" spans="1:10" x14ac:dyDescent="0.35">
      <c r="A91">
        <v>90</v>
      </c>
      <c r="B91">
        <v>55</v>
      </c>
      <c r="C91" t="s">
        <v>18</v>
      </c>
      <c r="D91">
        <v>75000</v>
      </c>
      <c r="E91" t="s">
        <v>19</v>
      </c>
      <c r="F91">
        <v>640</v>
      </c>
      <c r="G91">
        <v>9.5</v>
      </c>
      <c r="H91" t="s">
        <v>20</v>
      </c>
      <c r="I91" t="s">
        <v>5</v>
      </c>
      <c r="J91">
        <v>28</v>
      </c>
    </row>
    <row r="92" spans="1:10" x14ac:dyDescent="0.35">
      <c r="A92">
        <v>91</v>
      </c>
      <c r="B92">
        <v>29</v>
      </c>
      <c r="C92" t="s">
        <v>14</v>
      </c>
      <c r="D92">
        <v>46000</v>
      </c>
      <c r="E92" t="s">
        <v>15</v>
      </c>
      <c r="F92">
        <v>270</v>
      </c>
      <c r="G92">
        <v>4.3</v>
      </c>
      <c r="H92" t="s">
        <v>16</v>
      </c>
      <c r="I92" t="s">
        <v>3</v>
      </c>
      <c r="J92">
        <v>15</v>
      </c>
    </row>
    <row r="93" spans="1:10" x14ac:dyDescent="0.35">
      <c r="A93">
        <v>92</v>
      </c>
      <c r="B93">
        <v>33</v>
      </c>
      <c r="C93" t="s">
        <v>14</v>
      </c>
      <c r="D93">
        <v>53000</v>
      </c>
      <c r="E93" t="s">
        <v>15</v>
      </c>
      <c r="F93">
        <v>380</v>
      </c>
      <c r="G93">
        <v>6</v>
      </c>
      <c r="H93" t="s">
        <v>17</v>
      </c>
      <c r="I93" t="s">
        <v>4</v>
      </c>
      <c r="J93">
        <v>18</v>
      </c>
    </row>
    <row r="94" spans="1:10" x14ac:dyDescent="0.35">
      <c r="A94">
        <v>93</v>
      </c>
      <c r="B94">
        <v>51</v>
      </c>
      <c r="C94" t="s">
        <v>18</v>
      </c>
      <c r="D94">
        <v>71000</v>
      </c>
      <c r="E94" t="s">
        <v>19</v>
      </c>
      <c r="F94">
        <v>600</v>
      </c>
      <c r="G94">
        <v>9</v>
      </c>
      <c r="H94" t="s">
        <v>20</v>
      </c>
      <c r="I94" t="s">
        <v>5</v>
      </c>
      <c r="J94">
        <v>25</v>
      </c>
    </row>
    <row r="95" spans="1:10" x14ac:dyDescent="0.35">
      <c r="A95">
        <v>94</v>
      </c>
      <c r="B95">
        <v>27</v>
      </c>
      <c r="C95" t="s">
        <v>14</v>
      </c>
      <c r="D95">
        <v>43000</v>
      </c>
      <c r="E95" t="s">
        <v>15</v>
      </c>
      <c r="F95">
        <v>230</v>
      </c>
      <c r="G95">
        <v>4</v>
      </c>
      <c r="H95" t="s">
        <v>16</v>
      </c>
      <c r="I95" t="s">
        <v>3</v>
      </c>
      <c r="J95">
        <v>14</v>
      </c>
    </row>
    <row r="96" spans="1:10" x14ac:dyDescent="0.35">
      <c r="A96">
        <v>95</v>
      </c>
      <c r="B96">
        <v>43</v>
      </c>
      <c r="C96" t="s">
        <v>23</v>
      </c>
      <c r="D96">
        <v>63000</v>
      </c>
      <c r="E96" t="s">
        <v>19</v>
      </c>
      <c r="F96">
        <v>470</v>
      </c>
      <c r="G96">
        <v>7.8</v>
      </c>
      <c r="H96" t="s">
        <v>17</v>
      </c>
      <c r="I96" t="s">
        <v>4</v>
      </c>
      <c r="J96">
        <v>21</v>
      </c>
    </row>
    <row r="97" spans="1:10" x14ac:dyDescent="0.35">
      <c r="A97">
        <v>96</v>
      </c>
      <c r="B97">
        <v>41</v>
      </c>
      <c r="C97" t="s">
        <v>23</v>
      </c>
      <c r="D97">
        <v>61000</v>
      </c>
      <c r="E97" t="s">
        <v>19</v>
      </c>
      <c r="F97">
        <v>480</v>
      </c>
      <c r="G97">
        <v>7.7</v>
      </c>
      <c r="H97" t="s">
        <v>17</v>
      </c>
      <c r="I97" t="s">
        <v>5</v>
      </c>
      <c r="J97">
        <v>22</v>
      </c>
    </row>
    <row r="98" spans="1:10" x14ac:dyDescent="0.35">
      <c r="A98">
        <v>97</v>
      </c>
      <c r="B98">
        <v>50</v>
      </c>
      <c r="C98" t="s">
        <v>18</v>
      </c>
      <c r="D98">
        <v>70000</v>
      </c>
      <c r="E98" t="s">
        <v>19</v>
      </c>
      <c r="F98">
        <v>600</v>
      </c>
      <c r="G98">
        <v>9</v>
      </c>
      <c r="H98" t="s">
        <v>20</v>
      </c>
      <c r="I98" t="s">
        <v>3</v>
      </c>
      <c r="J98">
        <v>25</v>
      </c>
    </row>
    <row r="99" spans="1:10" x14ac:dyDescent="0.35">
      <c r="A99">
        <v>98</v>
      </c>
      <c r="B99">
        <v>24</v>
      </c>
      <c r="C99" t="s">
        <v>21</v>
      </c>
      <c r="D99">
        <v>32000</v>
      </c>
      <c r="E99" t="s">
        <v>22</v>
      </c>
      <c r="F99">
        <v>170</v>
      </c>
      <c r="G99">
        <v>3.3</v>
      </c>
      <c r="H99" t="s">
        <v>16</v>
      </c>
      <c r="I99" t="s">
        <v>4</v>
      </c>
      <c r="J99">
        <v>11</v>
      </c>
    </row>
    <row r="100" spans="1:10" x14ac:dyDescent="0.35">
      <c r="A100">
        <v>99</v>
      </c>
      <c r="B100">
        <v>48</v>
      </c>
      <c r="C100" t="s">
        <v>18</v>
      </c>
      <c r="D100">
        <v>68000</v>
      </c>
      <c r="E100" t="s">
        <v>19</v>
      </c>
      <c r="F100">
        <v>550</v>
      </c>
      <c r="G100">
        <v>8.5</v>
      </c>
      <c r="H100" t="s">
        <v>20</v>
      </c>
      <c r="I100" t="s">
        <v>5</v>
      </c>
      <c r="J100">
        <v>24</v>
      </c>
    </row>
    <row r="101" spans="1:10" x14ac:dyDescent="0.35">
      <c r="A101">
        <v>100</v>
      </c>
      <c r="B101">
        <v>30</v>
      </c>
      <c r="C101" t="s">
        <v>14</v>
      </c>
      <c r="D101">
        <v>49000</v>
      </c>
      <c r="E101" t="s">
        <v>15</v>
      </c>
      <c r="F101">
        <v>300</v>
      </c>
      <c r="G101">
        <v>5</v>
      </c>
      <c r="H101" t="s">
        <v>17</v>
      </c>
      <c r="I101" t="s">
        <v>3</v>
      </c>
      <c r="J101">
        <v>16</v>
      </c>
    </row>
    <row r="102" spans="1:10" x14ac:dyDescent="0.35">
      <c r="A102">
        <v>101</v>
      </c>
      <c r="B102">
        <v>39</v>
      </c>
      <c r="C102" t="s">
        <v>23</v>
      </c>
      <c r="D102">
        <v>57000</v>
      </c>
      <c r="E102" t="s">
        <v>15</v>
      </c>
      <c r="F102">
        <v>440</v>
      </c>
      <c r="G102">
        <v>7</v>
      </c>
      <c r="H102" t="s">
        <v>17</v>
      </c>
      <c r="I102" t="s">
        <v>4</v>
      </c>
      <c r="J102">
        <v>21</v>
      </c>
    </row>
    <row r="103" spans="1:10" x14ac:dyDescent="0.35">
      <c r="A103">
        <v>102</v>
      </c>
      <c r="B103">
        <v>37</v>
      </c>
      <c r="C103" t="s">
        <v>23</v>
      </c>
      <c r="D103">
        <v>58000</v>
      </c>
      <c r="E103" t="s">
        <v>15</v>
      </c>
      <c r="F103">
        <v>420</v>
      </c>
      <c r="G103">
        <v>6.8</v>
      </c>
      <c r="H103" t="s">
        <v>17</v>
      </c>
      <c r="I103" t="s">
        <v>5</v>
      </c>
      <c r="J103">
        <v>20</v>
      </c>
    </row>
    <row r="104" spans="1:10" x14ac:dyDescent="0.35">
      <c r="A104">
        <v>103</v>
      </c>
      <c r="B104">
        <v>46</v>
      </c>
      <c r="C104" t="s">
        <v>18</v>
      </c>
      <c r="D104">
        <v>66000</v>
      </c>
      <c r="E104" t="s">
        <v>19</v>
      </c>
      <c r="F104">
        <v>510</v>
      </c>
      <c r="G104">
        <v>8.1</v>
      </c>
      <c r="H104" t="s">
        <v>20</v>
      </c>
      <c r="I104" t="s">
        <v>3</v>
      </c>
      <c r="J104">
        <v>22</v>
      </c>
    </row>
    <row r="105" spans="1:10" x14ac:dyDescent="0.35">
      <c r="A105">
        <v>104</v>
      </c>
      <c r="B105">
        <v>33</v>
      </c>
      <c r="C105" t="s">
        <v>14</v>
      </c>
      <c r="D105">
        <v>53000</v>
      </c>
      <c r="E105" t="s">
        <v>15</v>
      </c>
      <c r="F105">
        <v>380</v>
      </c>
      <c r="G105">
        <v>6</v>
      </c>
      <c r="H105" t="s">
        <v>17</v>
      </c>
      <c r="I105" t="s">
        <v>4</v>
      </c>
      <c r="J105">
        <v>18</v>
      </c>
    </row>
    <row r="106" spans="1:10" x14ac:dyDescent="0.35">
      <c r="A106">
        <v>105</v>
      </c>
      <c r="B106">
        <v>52</v>
      </c>
      <c r="C106" t="s">
        <v>18</v>
      </c>
      <c r="D106">
        <v>72000</v>
      </c>
      <c r="E106" t="s">
        <v>19</v>
      </c>
      <c r="F106">
        <v>610</v>
      </c>
      <c r="G106">
        <v>9.1999999999999993</v>
      </c>
      <c r="H106" t="s">
        <v>20</v>
      </c>
      <c r="I106" t="s">
        <v>5</v>
      </c>
      <c r="J106">
        <v>26</v>
      </c>
    </row>
    <row r="107" spans="1:10" x14ac:dyDescent="0.35">
      <c r="A107">
        <v>106</v>
      </c>
      <c r="B107">
        <v>28</v>
      </c>
      <c r="C107" t="s">
        <v>14</v>
      </c>
      <c r="D107">
        <v>46000</v>
      </c>
      <c r="E107" t="s">
        <v>15</v>
      </c>
      <c r="F107">
        <v>250</v>
      </c>
      <c r="G107">
        <v>4.2</v>
      </c>
      <c r="H107" t="s">
        <v>16</v>
      </c>
      <c r="I107" t="s">
        <v>3</v>
      </c>
      <c r="J107">
        <v>14</v>
      </c>
    </row>
    <row r="108" spans="1:10" x14ac:dyDescent="0.35">
      <c r="A108">
        <v>107</v>
      </c>
      <c r="B108">
        <v>41</v>
      </c>
      <c r="C108" t="s">
        <v>23</v>
      </c>
      <c r="D108">
        <v>61000</v>
      </c>
      <c r="E108" t="s">
        <v>19</v>
      </c>
      <c r="F108">
        <v>480</v>
      </c>
      <c r="G108">
        <v>7.8</v>
      </c>
      <c r="H108" t="s">
        <v>17</v>
      </c>
      <c r="I108" t="s">
        <v>4</v>
      </c>
      <c r="J108">
        <v>21</v>
      </c>
    </row>
    <row r="109" spans="1:10" x14ac:dyDescent="0.35">
      <c r="A109">
        <v>108</v>
      </c>
      <c r="B109">
        <v>50</v>
      </c>
      <c r="C109" t="s">
        <v>18</v>
      </c>
      <c r="D109">
        <v>70000</v>
      </c>
      <c r="E109" t="s">
        <v>19</v>
      </c>
      <c r="F109">
        <v>600</v>
      </c>
      <c r="G109">
        <v>9</v>
      </c>
      <c r="H109" t="s">
        <v>20</v>
      </c>
      <c r="I109" t="s">
        <v>5</v>
      </c>
      <c r="J109">
        <v>25</v>
      </c>
    </row>
    <row r="110" spans="1:10" x14ac:dyDescent="0.35">
      <c r="A110">
        <v>109</v>
      </c>
      <c r="B110">
        <v>36</v>
      </c>
      <c r="C110" t="s">
        <v>23</v>
      </c>
      <c r="D110">
        <v>54000</v>
      </c>
      <c r="E110" t="s">
        <v>15</v>
      </c>
      <c r="F110">
        <v>400</v>
      </c>
      <c r="G110">
        <v>6.5</v>
      </c>
      <c r="H110" t="s">
        <v>17</v>
      </c>
      <c r="I110" t="s">
        <v>3</v>
      </c>
      <c r="J110">
        <v>19</v>
      </c>
    </row>
    <row r="111" spans="1:10" x14ac:dyDescent="0.35">
      <c r="A111">
        <v>110</v>
      </c>
      <c r="B111">
        <v>24</v>
      </c>
      <c r="C111" t="s">
        <v>21</v>
      </c>
      <c r="D111">
        <v>32000</v>
      </c>
      <c r="E111" t="s">
        <v>22</v>
      </c>
      <c r="F111">
        <v>170</v>
      </c>
      <c r="G111">
        <v>3.3</v>
      </c>
      <c r="H111" t="s">
        <v>16</v>
      </c>
      <c r="I111" t="s">
        <v>4</v>
      </c>
      <c r="J111">
        <v>11</v>
      </c>
    </row>
    <row r="112" spans="1:10" x14ac:dyDescent="0.35">
      <c r="A112">
        <v>111</v>
      </c>
      <c r="B112">
        <v>49</v>
      </c>
      <c r="C112" t="s">
        <v>18</v>
      </c>
      <c r="D112">
        <v>69000</v>
      </c>
      <c r="E112" t="s">
        <v>19</v>
      </c>
      <c r="F112">
        <v>590</v>
      </c>
      <c r="G112">
        <v>8.9</v>
      </c>
      <c r="H112" t="s">
        <v>20</v>
      </c>
      <c r="I112" t="s">
        <v>5</v>
      </c>
      <c r="J112">
        <v>24</v>
      </c>
    </row>
    <row r="113" spans="1:10" x14ac:dyDescent="0.35">
      <c r="A113">
        <v>112</v>
      </c>
      <c r="B113">
        <v>26</v>
      </c>
      <c r="C113" t="s">
        <v>14</v>
      </c>
      <c r="D113">
        <v>44000</v>
      </c>
      <c r="E113" t="s">
        <v>15</v>
      </c>
      <c r="F113">
        <v>240</v>
      </c>
      <c r="G113">
        <v>4.3</v>
      </c>
      <c r="H113" t="s">
        <v>16</v>
      </c>
      <c r="I113" t="s">
        <v>3</v>
      </c>
      <c r="J113">
        <v>14</v>
      </c>
    </row>
    <row r="114" spans="1:10" x14ac:dyDescent="0.35">
      <c r="A114">
        <v>113</v>
      </c>
      <c r="B114">
        <v>45</v>
      </c>
      <c r="C114" t="s">
        <v>18</v>
      </c>
      <c r="D114">
        <v>65000</v>
      </c>
      <c r="E114" t="s">
        <v>19</v>
      </c>
      <c r="F114">
        <v>500</v>
      </c>
      <c r="G114">
        <v>8</v>
      </c>
      <c r="H114" t="s">
        <v>20</v>
      </c>
      <c r="I114" t="s">
        <v>4</v>
      </c>
      <c r="J114">
        <v>22</v>
      </c>
    </row>
    <row r="115" spans="1:10" x14ac:dyDescent="0.35">
      <c r="A115">
        <v>114</v>
      </c>
      <c r="B115">
        <v>40</v>
      </c>
      <c r="C115" t="s">
        <v>23</v>
      </c>
      <c r="D115">
        <v>60000</v>
      </c>
      <c r="E115" t="s">
        <v>19</v>
      </c>
      <c r="F115">
        <v>450</v>
      </c>
      <c r="G115">
        <v>7.2</v>
      </c>
      <c r="H115" t="s">
        <v>17</v>
      </c>
      <c r="I115" t="s">
        <v>5</v>
      </c>
      <c r="J115">
        <v>20</v>
      </c>
    </row>
    <row r="116" spans="1:10" x14ac:dyDescent="0.35">
      <c r="A116">
        <v>115</v>
      </c>
      <c r="B116">
        <v>38</v>
      </c>
      <c r="C116" t="s">
        <v>23</v>
      </c>
      <c r="D116">
        <v>59000</v>
      </c>
      <c r="E116" t="s">
        <v>15</v>
      </c>
      <c r="F116">
        <v>430</v>
      </c>
      <c r="G116">
        <v>6.9</v>
      </c>
      <c r="H116" t="s">
        <v>17</v>
      </c>
      <c r="I116" t="s">
        <v>3</v>
      </c>
      <c r="J116">
        <v>20</v>
      </c>
    </row>
    <row r="117" spans="1:10" x14ac:dyDescent="0.35">
      <c r="A117">
        <v>116</v>
      </c>
      <c r="B117">
        <v>54</v>
      </c>
      <c r="C117" t="s">
        <v>18</v>
      </c>
      <c r="D117">
        <v>74000</v>
      </c>
      <c r="E117" t="s">
        <v>19</v>
      </c>
      <c r="F117">
        <v>630</v>
      </c>
      <c r="G117">
        <v>9.4</v>
      </c>
      <c r="H117" t="s">
        <v>20</v>
      </c>
      <c r="I117" t="s">
        <v>4</v>
      </c>
      <c r="J117">
        <v>27</v>
      </c>
    </row>
    <row r="118" spans="1:10" x14ac:dyDescent="0.35">
      <c r="A118">
        <v>117</v>
      </c>
      <c r="B118">
        <v>32</v>
      </c>
      <c r="C118" t="s">
        <v>14</v>
      </c>
      <c r="D118">
        <v>52000</v>
      </c>
      <c r="E118" t="s">
        <v>15</v>
      </c>
      <c r="F118">
        <v>360</v>
      </c>
      <c r="G118">
        <v>5.8</v>
      </c>
      <c r="H118" t="s">
        <v>17</v>
      </c>
      <c r="I118" t="s">
        <v>5</v>
      </c>
      <c r="J118">
        <v>18</v>
      </c>
    </row>
    <row r="119" spans="1:10" x14ac:dyDescent="0.35">
      <c r="A119">
        <v>118</v>
      </c>
      <c r="B119">
        <v>31</v>
      </c>
      <c r="C119" t="s">
        <v>14</v>
      </c>
      <c r="D119">
        <v>51000</v>
      </c>
      <c r="E119" t="s">
        <v>15</v>
      </c>
      <c r="F119">
        <v>340</v>
      </c>
      <c r="G119">
        <v>5.6</v>
      </c>
      <c r="H119" t="s">
        <v>17</v>
      </c>
      <c r="I119" t="s">
        <v>3</v>
      </c>
      <c r="J119">
        <v>17</v>
      </c>
    </row>
    <row r="120" spans="1:10" x14ac:dyDescent="0.35">
      <c r="A120">
        <v>119</v>
      </c>
      <c r="B120">
        <v>42</v>
      </c>
      <c r="C120" t="s">
        <v>23</v>
      </c>
      <c r="D120">
        <v>62000</v>
      </c>
      <c r="E120" t="s">
        <v>19</v>
      </c>
      <c r="F120">
        <v>520</v>
      </c>
      <c r="G120">
        <v>8.1999999999999993</v>
      </c>
      <c r="H120" t="s">
        <v>20</v>
      </c>
      <c r="I120" t="s">
        <v>4</v>
      </c>
      <c r="J120">
        <v>23</v>
      </c>
    </row>
    <row r="121" spans="1:10" x14ac:dyDescent="0.35">
      <c r="A121">
        <v>120</v>
      </c>
      <c r="B121">
        <v>55</v>
      </c>
      <c r="C121" t="s">
        <v>18</v>
      </c>
      <c r="D121">
        <v>75000</v>
      </c>
      <c r="E121" t="s">
        <v>19</v>
      </c>
      <c r="F121">
        <v>640</v>
      </c>
      <c r="G121">
        <v>9.5</v>
      </c>
      <c r="H121" t="s">
        <v>20</v>
      </c>
      <c r="I121" t="s">
        <v>5</v>
      </c>
      <c r="J121">
        <v>28</v>
      </c>
    </row>
    <row r="122" spans="1:10" x14ac:dyDescent="0.35">
      <c r="A122">
        <v>121</v>
      </c>
      <c r="B122">
        <v>29</v>
      </c>
      <c r="C122" t="s">
        <v>14</v>
      </c>
      <c r="D122">
        <v>46000</v>
      </c>
      <c r="E122" t="s">
        <v>15</v>
      </c>
      <c r="F122">
        <v>270</v>
      </c>
      <c r="G122">
        <v>4.3</v>
      </c>
      <c r="H122" t="s">
        <v>16</v>
      </c>
      <c r="I122" t="s">
        <v>3</v>
      </c>
      <c r="J122">
        <v>15</v>
      </c>
    </row>
    <row r="123" spans="1:10" x14ac:dyDescent="0.35">
      <c r="A123">
        <v>122</v>
      </c>
      <c r="B123">
        <v>33</v>
      </c>
      <c r="C123" t="s">
        <v>14</v>
      </c>
      <c r="D123">
        <v>53000</v>
      </c>
      <c r="E123" t="s">
        <v>15</v>
      </c>
      <c r="F123">
        <v>380</v>
      </c>
      <c r="G123">
        <v>6</v>
      </c>
      <c r="H123" t="s">
        <v>17</v>
      </c>
      <c r="I123" t="s">
        <v>4</v>
      </c>
      <c r="J123">
        <v>18</v>
      </c>
    </row>
    <row r="124" spans="1:10" x14ac:dyDescent="0.35">
      <c r="A124">
        <v>123</v>
      </c>
      <c r="B124">
        <v>51</v>
      </c>
      <c r="C124" t="s">
        <v>18</v>
      </c>
      <c r="D124">
        <v>71000</v>
      </c>
      <c r="E124" t="s">
        <v>19</v>
      </c>
      <c r="F124">
        <v>600</v>
      </c>
      <c r="G124">
        <v>9</v>
      </c>
      <c r="H124" t="s">
        <v>20</v>
      </c>
      <c r="I124" t="s">
        <v>5</v>
      </c>
      <c r="J124">
        <v>25</v>
      </c>
    </row>
    <row r="125" spans="1:10" x14ac:dyDescent="0.35">
      <c r="A125">
        <v>124</v>
      </c>
      <c r="B125">
        <v>27</v>
      </c>
      <c r="C125" t="s">
        <v>14</v>
      </c>
      <c r="D125">
        <v>43000</v>
      </c>
      <c r="E125" t="s">
        <v>15</v>
      </c>
      <c r="F125">
        <v>230</v>
      </c>
      <c r="G125">
        <v>4</v>
      </c>
      <c r="H125" t="s">
        <v>16</v>
      </c>
      <c r="I125" t="s">
        <v>3</v>
      </c>
      <c r="J125">
        <v>14</v>
      </c>
    </row>
    <row r="126" spans="1:10" x14ac:dyDescent="0.35">
      <c r="A126">
        <v>125</v>
      </c>
      <c r="B126">
        <v>43</v>
      </c>
      <c r="C126" t="s">
        <v>23</v>
      </c>
      <c r="D126">
        <v>63000</v>
      </c>
      <c r="E126" t="s">
        <v>19</v>
      </c>
      <c r="F126">
        <v>470</v>
      </c>
      <c r="G126">
        <v>7.8</v>
      </c>
      <c r="H126" t="s">
        <v>17</v>
      </c>
      <c r="I126" t="s">
        <v>4</v>
      </c>
      <c r="J126">
        <v>21</v>
      </c>
    </row>
    <row r="127" spans="1:10" x14ac:dyDescent="0.35">
      <c r="A127">
        <v>126</v>
      </c>
      <c r="B127">
        <v>41</v>
      </c>
      <c r="C127" t="s">
        <v>23</v>
      </c>
      <c r="D127">
        <v>61000</v>
      </c>
      <c r="E127" t="s">
        <v>19</v>
      </c>
      <c r="F127">
        <v>480</v>
      </c>
      <c r="G127">
        <v>7.7</v>
      </c>
      <c r="H127" t="s">
        <v>17</v>
      </c>
      <c r="I127" t="s">
        <v>5</v>
      </c>
      <c r="J127">
        <v>22</v>
      </c>
    </row>
    <row r="128" spans="1:10" x14ac:dyDescent="0.35">
      <c r="A128">
        <v>127</v>
      </c>
      <c r="B128">
        <v>50</v>
      </c>
      <c r="C128" t="s">
        <v>18</v>
      </c>
      <c r="D128">
        <v>70000</v>
      </c>
      <c r="E128" t="s">
        <v>19</v>
      </c>
      <c r="F128">
        <v>600</v>
      </c>
      <c r="G128">
        <v>9</v>
      </c>
      <c r="H128" t="s">
        <v>20</v>
      </c>
      <c r="I128" t="s">
        <v>3</v>
      </c>
      <c r="J128">
        <v>25</v>
      </c>
    </row>
    <row r="129" spans="1:10" x14ac:dyDescent="0.35">
      <c r="A129">
        <v>128</v>
      </c>
      <c r="B129">
        <v>24</v>
      </c>
      <c r="C129" t="s">
        <v>21</v>
      </c>
      <c r="D129">
        <v>32000</v>
      </c>
      <c r="E129" t="s">
        <v>22</v>
      </c>
      <c r="F129">
        <v>170</v>
      </c>
      <c r="G129">
        <v>3.3</v>
      </c>
      <c r="H129" t="s">
        <v>16</v>
      </c>
      <c r="I129" t="s">
        <v>4</v>
      </c>
      <c r="J129">
        <v>11</v>
      </c>
    </row>
    <row r="130" spans="1:10" x14ac:dyDescent="0.35">
      <c r="A130">
        <v>129</v>
      </c>
      <c r="B130">
        <v>48</v>
      </c>
      <c r="C130" t="s">
        <v>18</v>
      </c>
      <c r="D130">
        <v>68000</v>
      </c>
      <c r="E130" t="s">
        <v>19</v>
      </c>
      <c r="F130">
        <v>550</v>
      </c>
      <c r="G130">
        <v>8.5</v>
      </c>
      <c r="H130" t="s">
        <v>20</v>
      </c>
      <c r="I130" t="s">
        <v>5</v>
      </c>
      <c r="J130">
        <v>24</v>
      </c>
    </row>
    <row r="131" spans="1:10" x14ac:dyDescent="0.35">
      <c r="A131">
        <v>130</v>
      </c>
      <c r="B131">
        <v>30</v>
      </c>
      <c r="C131" t="s">
        <v>14</v>
      </c>
      <c r="D131">
        <v>49000</v>
      </c>
      <c r="E131" t="s">
        <v>15</v>
      </c>
      <c r="F131">
        <v>300</v>
      </c>
      <c r="G131">
        <v>5</v>
      </c>
      <c r="H131" t="s">
        <v>17</v>
      </c>
      <c r="I131" t="s">
        <v>3</v>
      </c>
      <c r="J131">
        <v>16</v>
      </c>
    </row>
    <row r="132" spans="1:10" x14ac:dyDescent="0.35">
      <c r="A132">
        <v>131</v>
      </c>
      <c r="B132">
        <v>39</v>
      </c>
      <c r="C132" t="s">
        <v>23</v>
      </c>
      <c r="D132">
        <v>57000</v>
      </c>
      <c r="E132" t="s">
        <v>15</v>
      </c>
      <c r="F132">
        <v>440</v>
      </c>
      <c r="G132">
        <v>7</v>
      </c>
      <c r="H132" t="s">
        <v>17</v>
      </c>
      <c r="I132" t="s">
        <v>4</v>
      </c>
      <c r="J132">
        <v>21</v>
      </c>
    </row>
    <row r="133" spans="1:10" x14ac:dyDescent="0.35">
      <c r="A133">
        <v>132</v>
      </c>
      <c r="B133">
        <v>37</v>
      </c>
      <c r="C133" t="s">
        <v>23</v>
      </c>
      <c r="D133">
        <v>58000</v>
      </c>
      <c r="E133" t="s">
        <v>15</v>
      </c>
      <c r="F133">
        <v>420</v>
      </c>
      <c r="G133">
        <v>6.8</v>
      </c>
      <c r="H133" t="s">
        <v>17</v>
      </c>
      <c r="I133" t="s">
        <v>5</v>
      </c>
      <c r="J133">
        <v>20</v>
      </c>
    </row>
    <row r="134" spans="1:10" x14ac:dyDescent="0.35">
      <c r="A134">
        <v>133</v>
      </c>
      <c r="B134">
        <v>46</v>
      </c>
      <c r="C134" t="s">
        <v>18</v>
      </c>
      <c r="D134">
        <v>66000</v>
      </c>
      <c r="E134" t="s">
        <v>19</v>
      </c>
      <c r="F134">
        <v>510</v>
      </c>
      <c r="G134">
        <v>8.1</v>
      </c>
      <c r="H134" t="s">
        <v>20</v>
      </c>
      <c r="I134" t="s">
        <v>3</v>
      </c>
      <c r="J134">
        <v>22</v>
      </c>
    </row>
    <row r="135" spans="1:10" x14ac:dyDescent="0.35">
      <c r="A135">
        <v>134</v>
      </c>
      <c r="B135">
        <v>33</v>
      </c>
      <c r="C135" t="s">
        <v>14</v>
      </c>
      <c r="D135">
        <v>53000</v>
      </c>
      <c r="E135" t="s">
        <v>15</v>
      </c>
      <c r="F135">
        <v>380</v>
      </c>
      <c r="G135">
        <v>6</v>
      </c>
      <c r="H135" t="s">
        <v>17</v>
      </c>
      <c r="I135" t="s">
        <v>4</v>
      </c>
      <c r="J135">
        <v>18</v>
      </c>
    </row>
    <row r="136" spans="1:10" x14ac:dyDescent="0.35">
      <c r="A136">
        <v>135</v>
      </c>
      <c r="B136">
        <v>52</v>
      </c>
      <c r="C136" t="s">
        <v>18</v>
      </c>
      <c r="D136">
        <v>72000</v>
      </c>
      <c r="E136" t="s">
        <v>19</v>
      </c>
      <c r="F136">
        <v>610</v>
      </c>
      <c r="G136">
        <v>9.1999999999999993</v>
      </c>
      <c r="H136" t="s">
        <v>20</v>
      </c>
      <c r="I136" t="s">
        <v>5</v>
      </c>
      <c r="J136">
        <v>26</v>
      </c>
    </row>
    <row r="137" spans="1:10" x14ac:dyDescent="0.35">
      <c r="A137">
        <v>136</v>
      </c>
      <c r="B137">
        <v>28</v>
      </c>
      <c r="C137" t="s">
        <v>14</v>
      </c>
      <c r="D137">
        <v>46000</v>
      </c>
      <c r="E137" t="s">
        <v>15</v>
      </c>
      <c r="F137">
        <v>250</v>
      </c>
      <c r="G137">
        <v>4.2</v>
      </c>
      <c r="H137" t="s">
        <v>16</v>
      </c>
      <c r="I137" t="s">
        <v>3</v>
      </c>
      <c r="J137">
        <v>14</v>
      </c>
    </row>
    <row r="138" spans="1:10" x14ac:dyDescent="0.35">
      <c r="A138">
        <v>137</v>
      </c>
      <c r="B138">
        <v>41</v>
      </c>
      <c r="C138" t="s">
        <v>23</v>
      </c>
      <c r="D138">
        <v>61000</v>
      </c>
      <c r="E138" t="s">
        <v>19</v>
      </c>
      <c r="F138">
        <v>480</v>
      </c>
      <c r="G138">
        <v>7.8</v>
      </c>
      <c r="H138" t="s">
        <v>17</v>
      </c>
      <c r="I138" t="s">
        <v>4</v>
      </c>
      <c r="J138">
        <v>21</v>
      </c>
    </row>
    <row r="139" spans="1:10" x14ac:dyDescent="0.35">
      <c r="A139">
        <v>138</v>
      </c>
      <c r="B139">
        <v>50</v>
      </c>
      <c r="C139" t="s">
        <v>18</v>
      </c>
      <c r="D139">
        <v>70000</v>
      </c>
      <c r="E139" t="s">
        <v>19</v>
      </c>
      <c r="F139">
        <v>600</v>
      </c>
      <c r="G139">
        <v>9</v>
      </c>
      <c r="H139" t="s">
        <v>20</v>
      </c>
      <c r="I139" t="s">
        <v>5</v>
      </c>
      <c r="J139">
        <v>25</v>
      </c>
    </row>
    <row r="140" spans="1:10" x14ac:dyDescent="0.35">
      <c r="A140">
        <v>139</v>
      </c>
      <c r="B140">
        <v>36</v>
      </c>
      <c r="C140" t="s">
        <v>23</v>
      </c>
      <c r="D140">
        <v>54000</v>
      </c>
      <c r="E140" t="s">
        <v>15</v>
      </c>
      <c r="F140">
        <v>400</v>
      </c>
      <c r="G140">
        <v>6.5</v>
      </c>
      <c r="H140" t="s">
        <v>17</v>
      </c>
      <c r="I140" t="s">
        <v>3</v>
      </c>
      <c r="J140">
        <v>19</v>
      </c>
    </row>
    <row r="141" spans="1:10" x14ac:dyDescent="0.35">
      <c r="A141">
        <v>140</v>
      </c>
      <c r="B141">
        <v>24</v>
      </c>
      <c r="C141" t="s">
        <v>21</v>
      </c>
      <c r="D141">
        <v>32000</v>
      </c>
      <c r="E141" t="s">
        <v>22</v>
      </c>
      <c r="F141">
        <v>170</v>
      </c>
      <c r="G141">
        <v>3.3</v>
      </c>
      <c r="H141" t="s">
        <v>16</v>
      </c>
      <c r="I141" t="s">
        <v>4</v>
      </c>
      <c r="J141">
        <v>11</v>
      </c>
    </row>
    <row r="142" spans="1:10" x14ac:dyDescent="0.35">
      <c r="A142">
        <v>141</v>
      </c>
      <c r="B142">
        <v>49</v>
      </c>
      <c r="C142" t="s">
        <v>18</v>
      </c>
      <c r="D142">
        <v>69000</v>
      </c>
      <c r="E142" t="s">
        <v>19</v>
      </c>
      <c r="F142">
        <v>590</v>
      </c>
      <c r="G142">
        <v>8.9</v>
      </c>
      <c r="H142" t="s">
        <v>20</v>
      </c>
      <c r="I142" t="s">
        <v>5</v>
      </c>
      <c r="J142">
        <v>24</v>
      </c>
    </row>
    <row r="143" spans="1:10" x14ac:dyDescent="0.35">
      <c r="A143">
        <v>142</v>
      </c>
      <c r="B143">
        <v>26</v>
      </c>
      <c r="C143" t="s">
        <v>14</v>
      </c>
      <c r="D143">
        <v>44000</v>
      </c>
      <c r="E143" t="s">
        <v>15</v>
      </c>
      <c r="F143">
        <v>240</v>
      </c>
      <c r="G143">
        <v>4.3</v>
      </c>
      <c r="H143" t="s">
        <v>16</v>
      </c>
      <c r="I143" t="s">
        <v>3</v>
      </c>
      <c r="J143">
        <v>14</v>
      </c>
    </row>
    <row r="144" spans="1:10" x14ac:dyDescent="0.35">
      <c r="A144">
        <v>143</v>
      </c>
      <c r="B144">
        <v>45</v>
      </c>
      <c r="C144" t="s">
        <v>18</v>
      </c>
      <c r="D144">
        <v>65000</v>
      </c>
      <c r="E144" t="s">
        <v>19</v>
      </c>
      <c r="F144">
        <v>500</v>
      </c>
      <c r="G144">
        <v>8</v>
      </c>
      <c r="H144" t="s">
        <v>20</v>
      </c>
      <c r="I144" t="s">
        <v>4</v>
      </c>
      <c r="J144">
        <v>22</v>
      </c>
    </row>
    <row r="145" spans="1:10" x14ac:dyDescent="0.35">
      <c r="A145">
        <v>144</v>
      </c>
      <c r="B145">
        <v>40</v>
      </c>
      <c r="C145" t="s">
        <v>23</v>
      </c>
      <c r="D145">
        <v>60000</v>
      </c>
      <c r="E145" t="s">
        <v>19</v>
      </c>
      <c r="F145">
        <v>450</v>
      </c>
      <c r="G145">
        <v>7.2</v>
      </c>
      <c r="H145" t="s">
        <v>17</v>
      </c>
      <c r="I145" t="s">
        <v>5</v>
      </c>
      <c r="J145">
        <v>20</v>
      </c>
    </row>
    <row r="146" spans="1:10" x14ac:dyDescent="0.35">
      <c r="A146">
        <v>145</v>
      </c>
      <c r="B146">
        <v>38</v>
      </c>
      <c r="C146" t="s">
        <v>23</v>
      </c>
      <c r="D146">
        <v>59000</v>
      </c>
      <c r="E146" t="s">
        <v>15</v>
      </c>
      <c r="F146">
        <v>430</v>
      </c>
      <c r="G146">
        <v>6.9</v>
      </c>
      <c r="H146" t="s">
        <v>17</v>
      </c>
      <c r="I146" t="s">
        <v>3</v>
      </c>
      <c r="J146">
        <v>20</v>
      </c>
    </row>
    <row r="147" spans="1:10" x14ac:dyDescent="0.35">
      <c r="A147">
        <v>146</v>
      </c>
      <c r="B147">
        <v>54</v>
      </c>
      <c r="C147" t="s">
        <v>18</v>
      </c>
      <c r="D147">
        <v>74000</v>
      </c>
      <c r="E147" t="s">
        <v>19</v>
      </c>
      <c r="F147">
        <v>630</v>
      </c>
      <c r="G147">
        <v>9.4</v>
      </c>
      <c r="H147" t="s">
        <v>20</v>
      </c>
      <c r="I147" t="s">
        <v>4</v>
      </c>
      <c r="J147">
        <v>27</v>
      </c>
    </row>
    <row r="148" spans="1:10" x14ac:dyDescent="0.35">
      <c r="A148">
        <v>147</v>
      </c>
      <c r="B148">
        <v>32</v>
      </c>
      <c r="C148" t="s">
        <v>14</v>
      </c>
      <c r="D148">
        <v>52000</v>
      </c>
      <c r="E148" t="s">
        <v>15</v>
      </c>
      <c r="F148">
        <v>360</v>
      </c>
      <c r="G148">
        <v>5.8</v>
      </c>
      <c r="H148" t="s">
        <v>17</v>
      </c>
      <c r="I148" t="s">
        <v>5</v>
      </c>
      <c r="J148">
        <v>18</v>
      </c>
    </row>
    <row r="149" spans="1:10" x14ac:dyDescent="0.35">
      <c r="A149">
        <v>148</v>
      </c>
      <c r="B149">
        <v>31</v>
      </c>
      <c r="C149" t="s">
        <v>14</v>
      </c>
      <c r="D149">
        <v>51000</v>
      </c>
      <c r="E149" t="s">
        <v>15</v>
      </c>
      <c r="F149">
        <v>340</v>
      </c>
      <c r="G149">
        <v>5.6</v>
      </c>
      <c r="H149" t="s">
        <v>17</v>
      </c>
      <c r="I149" t="s">
        <v>3</v>
      </c>
      <c r="J149">
        <v>17</v>
      </c>
    </row>
    <row r="150" spans="1:10" x14ac:dyDescent="0.35">
      <c r="A150">
        <v>149</v>
      </c>
      <c r="B150">
        <v>42</v>
      </c>
      <c r="C150" t="s">
        <v>23</v>
      </c>
      <c r="D150">
        <v>62000</v>
      </c>
      <c r="E150" t="s">
        <v>19</v>
      </c>
      <c r="F150">
        <v>520</v>
      </c>
      <c r="G150">
        <v>8.1999999999999993</v>
      </c>
      <c r="H150" t="s">
        <v>20</v>
      </c>
      <c r="I150" t="s">
        <v>4</v>
      </c>
      <c r="J150">
        <v>23</v>
      </c>
    </row>
    <row r="151" spans="1:10" x14ac:dyDescent="0.35">
      <c r="A151">
        <v>150</v>
      </c>
      <c r="B151">
        <v>55</v>
      </c>
      <c r="C151" t="s">
        <v>18</v>
      </c>
      <c r="D151">
        <v>75000</v>
      </c>
      <c r="E151" t="s">
        <v>19</v>
      </c>
      <c r="F151">
        <v>640</v>
      </c>
      <c r="G151">
        <v>9.5</v>
      </c>
      <c r="H151" t="s">
        <v>20</v>
      </c>
      <c r="I151" t="s">
        <v>5</v>
      </c>
      <c r="J151">
        <v>28</v>
      </c>
    </row>
    <row r="152" spans="1:10" x14ac:dyDescent="0.35">
      <c r="A152">
        <v>151</v>
      </c>
      <c r="B152">
        <v>29</v>
      </c>
      <c r="C152" t="s">
        <v>14</v>
      </c>
      <c r="D152">
        <v>46000</v>
      </c>
      <c r="E152" t="s">
        <v>15</v>
      </c>
      <c r="F152">
        <v>270</v>
      </c>
      <c r="G152">
        <v>4.3</v>
      </c>
      <c r="H152" t="s">
        <v>16</v>
      </c>
      <c r="I152" t="s">
        <v>3</v>
      </c>
      <c r="J152">
        <v>15</v>
      </c>
    </row>
    <row r="153" spans="1:10" x14ac:dyDescent="0.35">
      <c r="A153">
        <v>152</v>
      </c>
      <c r="B153">
        <v>33</v>
      </c>
      <c r="C153" t="s">
        <v>14</v>
      </c>
      <c r="D153">
        <v>53000</v>
      </c>
      <c r="E153" t="s">
        <v>15</v>
      </c>
      <c r="F153">
        <v>380</v>
      </c>
      <c r="G153">
        <v>6</v>
      </c>
      <c r="H153" t="s">
        <v>17</v>
      </c>
      <c r="I153" t="s">
        <v>4</v>
      </c>
      <c r="J153">
        <v>18</v>
      </c>
    </row>
    <row r="154" spans="1:10" x14ac:dyDescent="0.35">
      <c r="A154">
        <v>153</v>
      </c>
      <c r="B154">
        <v>51</v>
      </c>
      <c r="C154" t="s">
        <v>18</v>
      </c>
      <c r="D154">
        <v>71000</v>
      </c>
      <c r="E154" t="s">
        <v>19</v>
      </c>
      <c r="F154">
        <v>600</v>
      </c>
      <c r="G154">
        <v>9</v>
      </c>
      <c r="H154" t="s">
        <v>20</v>
      </c>
      <c r="I154" t="s">
        <v>5</v>
      </c>
      <c r="J154">
        <v>25</v>
      </c>
    </row>
    <row r="155" spans="1:10" x14ac:dyDescent="0.35">
      <c r="A155">
        <v>154</v>
      </c>
      <c r="B155">
        <v>27</v>
      </c>
      <c r="C155" t="s">
        <v>14</v>
      </c>
      <c r="D155">
        <v>43000</v>
      </c>
      <c r="E155" t="s">
        <v>15</v>
      </c>
      <c r="F155">
        <v>230</v>
      </c>
      <c r="G155">
        <v>4</v>
      </c>
      <c r="H155" t="s">
        <v>16</v>
      </c>
      <c r="I155" t="s">
        <v>3</v>
      </c>
      <c r="J155">
        <v>14</v>
      </c>
    </row>
    <row r="156" spans="1:10" x14ac:dyDescent="0.35">
      <c r="A156">
        <v>155</v>
      </c>
      <c r="B156">
        <v>43</v>
      </c>
      <c r="C156" t="s">
        <v>23</v>
      </c>
      <c r="D156">
        <v>63000</v>
      </c>
      <c r="E156" t="s">
        <v>19</v>
      </c>
      <c r="F156">
        <v>470</v>
      </c>
      <c r="G156">
        <v>7.8</v>
      </c>
      <c r="H156" t="s">
        <v>17</v>
      </c>
      <c r="I156" t="s">
        <v>4</v>
      </c>
      <c r="J156">
        <v>21</v>
      </c>
    </row>
    <row r="157" spans="1:10" x14ac:dyDescent="0.35">
      <c r="A157">
        <v>156</v>
      </c>
      <c r="B157">
        <v>41</v>
      </c>
      <c r="C157" t="s">
        <v>23</v>
      </c>
      <c r="D157">
        <v>61000</v>
      </c>
      <c r="E157" t="s">
        <v>19</v>
      </c>
      <c r="F157">
        <v>480</v>
      </c>
      <c r="G157">
        <v>7.7</v>
      </c>
      <c r="H157" t="s">
        <v>17</v>
      </c>
      <c r="I157" t="s">
        <v>5</v>
      </c>
      <c r="J157">
        <v>22</v>
      </c>
    </row>
    <row r="158" spans="1:10" x14ac:dyDescent="0.35">
      <c r="A158">
        <v>157</v>
      </c>
      <c r="B158">
        <v>50</v>
      </c>
      <c r="C158" t="s">
        <v>18</v>
      </c>
      <c r="D158">
        <v>70000</v>
      </c>
      <c r="E158" t="s">
        <v>19</v>
      </c>
      <c r="F158">
        <v>600</v>
      </c>
      <c r="G158">
        <v>9</v>
      </c>
      <c r="H158" t="s">
        <v>20</v>
      </c>
      <c r="I158" t="s">
        <v>3</v>
      </c>
      <c r="J158">
        <v>25</v>
      </c>
    </row>
    <row r="159" spans="1:10" x14ac:dyDescent="0.35">
      <c r="A159">
        <v>158</v>
      </c>
      <c r="B159">
        <v>24</v>
      </c>
      <c r="C159" t="s">
        <v>21</v>
      </c>
      <c r="D159">
        <v>32000</v>
      </c>
      <c r="E159" t="s">
        <v>22</v>
      </c>
      <c r="F159">
        <v>170</v>
      </c>
      <c r="G159">
        <v>3.3</v>
      </c>
      <c r="H159" t="s">
        <v>16</v>
      </c>
      <c r="I159" t="s">
        <v>4</v>
      </c>
      <c r="J159">
        <v>11</v>
      </c>
    </row>
    <row r="160" spans="1:10" x14ac:dyDescent="0.35">
      <c r="A160">
        <v>159</v>
      </c>
      <c r="B160">
        <v>48</v>
      </c>
      <c r="C160" t="s">
        <v>18</v>
      </c>
      <c r="D160">
        <v>68000</v>
      </c>
      <c r="E160" t="s">
        <v>19</v>
      </c>
      <c r="F160">
        <v>550</v>
      </c>
      <c r="G160">
        <v>8.5</v>
      </c>
      <c r="H160" t="s">
        <v>20</v>
      </c>
      <c r="I160" t="s">
        <v>5</v>
      </c>
      <c r="J160">
        <v>24</v>
      </c>
    </row>
    <row r="161" spans="1:10" x14ac:dyDescent="0.35">
      <c r="A161">
        <v>160</v>
      </c>
      <c r="B161">
        <v>30</v>
      </c>
      <c r="C161" t="s">
        <v>14</v>
      </c>
      <c r="D161">
        <v>49000</v>
      </c>
      <c r="E161" t="s">
        <v>15</v>
      </c>
      <c r="F161">
        <v>300</v>
      </c>
      <c r="G161">
        <v>5</v>
      </c>
      <c r="H161" t="s">
        <v>17</v>
      </c>
      <c r="I161" t="s">
        <v>3</v>
      </c>
      <c r="J161">
        <v>16</v>
      </c>
    </row>
    <row r="162" spans="1:10" x14ac:dyDescent="0.35">
      <c r="A162">
        <v>161</v>
      </c>
      <c r="B162">
        <v>39</v>
      </c>
      <c r="C162" t="s">
        <v>23</v>
      </c>
      <c r="D162">
        <v>57000</v>
      </c>
      <c r="E162" t="s">
        <v>15</v>
      </c>
      <c r="F162">
        <v>440</v>
      </c>
      <c r="G162">
        <v>7</v>
      </c>
      <c r="H162" t="s">
        <v>17</v>
      </c>
      <c r="I162" t="s">
        <v>4</v>
      </c>
      <c r="J162">
        <v>21</v>
      </c>
    </row>
    <row r="163" spans="1:10" x14ac:dyDescent="0.35">
      <c r="A163">
        <v>162</v>
      </c>
      <c r="B163">
        <v>37</v>
      </c>
      <c r="C163" t="s">
        <v>23</v>
      </c>
      <c r="D163">
        <v>58000</v>
      </c>
      <c r="E163" t="s">
        <v>15</v>
      </c>
      <c r="F163">
        <v>420</v>
      </c>
      <c r="G163">
        <v>6.8</v>
      </c>
      <c r="H163" t="s">
        <v>17</v>
      </c>
      <c r="I163" t="s">
        <v>5</v>
      </c>
      <c r="J163">
        <v>20</v>
      </c>
    </row>
    <row r="164" spans="1:10" x14ac:dyDescent="0.35">
      <c r="A164">
        <v>163</v>
      </c>
      <c r="B164">
        <v>46</v>
      </c>
      <c r="C164" t="s">
        <v>18</v>
      </c>
      <c r="D164">
        <v>66000</v>
      </c>
      <c r="E164" t="s">
        <v>19</v>
      </c>
      <c r="F164">
        <v>510</v>
      </c>
      <c r="G164">
        <v>8.1</v>
      </c>
      <c r="H164" t="s">
        <v>20</v>
      </c>
      <c r="I164" t="s">
        <v>3</v>
      </c>
      <c r="J164">
        <v>22</v>
      </c>
    </row>
    <row r="165" spans="1:10" x14ac:dyDescent="0.35">
      <c r="A165">
        <v>164</v>
      </c>
      <c r="B165">
        <v>33</v>
      </c>
      <c r="C165" t="s">
        <v>14</v>
      </c>
      <c r="D165">
        <v>53000</v>
      </c>
      <c r="E165" t="s">
        <v>15</v>
      </c>
      <c r="F165">
        <v>380</v>
      </c>
      <c r="G165">
        <v>6</v>
      </c>
      <c r="H165" t="s">
        <v>17</v>
      </c>
      <c r="I165" t="s">
        <v>4</v>
      </c>
      <c r="J165">
        <v>18</v>
      </c>
    </row>
    <row r="166" spans="1:10" x14ac:dyDescent="0.35">
      <c r="A166">
        <v>165</v>
      </c>
      <c r="B166">
        <v>52</v>
      </c>
      <c r="C166" t="s">
        <v>18</v>
      </c>
      <c r="D166">
        <v>72000</v>
      </c>
      <c r="E166" t="s">
        <v>19</v>
      </c>
      <c r="F166">
        <v>610</v>
      </c>
      <c r="G166">
        <v>9.1999999999999993</v>
      </c>
      <c r="H166" t="s">
        <v>20</v>
      </c>
      <c r="I166" t="s">
        <v>5</v>
      </c>
      <c r="J166">
        <v>26</v>
      </c>
    </row>
    <row r="167" spans="1:10" x14ac:dyDescent="0.35">
      <c r="A167">
        <v>166</v>
      </c>
      <c r="B167">
        <v>28</v>
      </c>
      <c r="C167" t="s">
        <v>14</v>
      </c>
      <c r="D167">
        <v>46000</v>
      </c>
      <c r="E167" t="s">
        <v>15</v>
      </c>
      <c r="F167">
        <v>250</v>
      </c>
      <c r="G167">
        <v>4.2</v>
      </c>
      <c r="H167" t="s">
        <v>16</v>
      </c>
      <c r="I167" t="s">
        <v>3</v>
      </c>
      <c r="J167">
        <v>14</v>
      </c>
    </row>
    <row r="168" spans="1:10" x14ac:dyDescent="0.35">
      <c r="A168">
        <v>167</v>
      </c>
      <c r="B168">
        <v>41</v>
      </c>
      <c r="C168" t="s">
        <v>23</v>
      </c>
      <c r="D168">
        <v>61000</v>
      </c>
      <c r="E168" t="s">
        <v>19</v>
      </c>
      <c r="F168">
        <v>480</v>
      </c>
      <c r="G168">
        <v>7.8</v>
      </c>
      <c r="H168" t="s">
        <v>17</v>
      </c>
      <c r="I168" t="s">
        <v>4</v>
      </c>
      <c r="J168">
        <v>21</v>
      </c>
    </row>
    <row r="169" spans="1:10" x14ac:dyDescent="0.35">
      <c r="A169">
        <v>168</v>
      </c>
      <c r="B169">
        <v>50</v>
      </c>
      <c r="C169" t="s">
        <v>18</v>
      </c>
      <c r="D169">
        <v>70000</v>
      </c>
      <c r="E169" t="s">
        <v>19</v>
      </c>
      <c r="F169">
        <v>600</v>
      </c>
      <c r="G169">
        <v>9</v>
      </c>
      <c r="H169" t="s">
        <v>20</v>
      </c>
      <c r="I169" t="s">
        <v>5</v>
      </c>
      <c r="J169">
        <v>25</v>
      </c>
    </row>
    <row r="170" spans="1:10" x14ac:dyDescent="0.35">
      <c r="A170">
        <v>169</v>
      </c>
      <c r="B170">
        <v>36</v>
      </c>
      <c r="C170" t="s">
        <v>23</v>
      </c>
      <c r="D170">
        <v>54000</v>
      </c>
      <c r="E170" t="s">
        <v>15</v>
      </c>
      <c r="F170">
        <v>400</v>
      </c>
      <c r="G170">
        <v>6.5</v>
      </c>
      <c r="H170" t="s">
        <v>17</v>
      </c>
      <c r="I170" t="s">
        <v>3</v>
      </c>
      <c r="J170">
        <v>19</v>
      </c>
    </row>
    <row r="171" spans="1:10" x14ac:dyDescent="0.35">
      <c r="A171">
        <v>170</v>
      </c>
      <c r="B171">
        <v>24</v>
      </c>
      <c r="C171" t="s">
        <v>21</v>
      </c>
      <c r="D171">
        <v>32000</v>
      </c>
      <c r="E171" t="s">
        <v>22</v>
      </c>
      <c r="F171">
        <v>170</v>
      </c>
      <c r="G171">
        <v>3.3</v>
      </c>
      <c r="H171" t="s">
        <v>16</v>
      </c>
      <c r="I171" t="s">
        <v>4</v>
      </c>
      <c r="J171">
        <v>11</v>
      </c>
    </row>
    <row r="172" spans="1:10" x14ac:dyDescent="0.35">
      <c r="A172">
        <v>171</v>
      </c>
      <c r="B172">
        <v>49</v>
      </c>
      <c r="C172" t="s">
        <v>18</v>
      </c>
      <c r="D172">
        <v>69000</v>
      </c>
      <c r="E172" t="s">
        <v>19</v>
      </c>
      <c r="F172">
        <v>590</v>
      </c>
      <c r="G172">
        <v>8.9</v>
      </c>
      <c r="H172" t="s">
        <v>20</v>
      </c>
      <c r="I172" t="s">
        <v>5</v>
      </c>
      <c r="J172">
        <v>24</v>
      </c>
    </row>
    <row r="173" spans="1:10" x14ac:dyDescent="0.35">
      <c r="A173">
        <v>172</v>
      </c>
      <c r="B173">
        <v>26</v>
      </c>
      <c r="C173" t="s">
        <v>14</v>
      </c>
      <c r="D173">
        <v>44000</v>
      </c>
      <c r="E173" t="s">
        <v>15</v>
      </c>
      <c r="F173">
        <v>240</v>
      </c>
      <c r="G173">
        <v>4.3</v>
      </c>
      <c r="H173" t="s">
        <v>16</v>
      </c>
      <c r="I173" t="s">
        <v>3</v>
      </c>
      <c r="J173">
        <v>14</v>
      </c>
    </row>
    <row r="174" spans="1:10" x14ac:dyDescent="0.35">
      <c r="A174">
        <v>173</v>
      </c>
      <c r="B174">
        <v>45</v>
      </c>
      <c r="C174" t="s">
        <v>18</v>
      </c>
      <c r="D174">
        <v>65000</v>
      </c>
      <c r="E174" t="s">
        <v>19</v>
      </c>
      <c r="F174">
        <v>500</v>
      </c>
      <c r="G174">
        <v>8</v>
      </c>
      <c r="H174" t="s">
        <v>20</v>
      </c>
      <c r="I174" t="s">
        <v>4</v>
      </c>
      <c r="J174">
        <v>22</v>
      </c>
    </row>
    <row r="175" spans="1:10" x14ac:dyDescent="0.35">
      <c r="A175">
        <v>174</v>
      </c>
      <c r="B175">
        <v>40</v>
      </c>
      <c r="C175" t="s">
        <v>23</v>
      </c>
      <c r="D175">
        <v>60000</v>
      </c>
      <c r="E175" t="s">
        <v>19</v>
      </c>
      <c r="F175">
        <v>450</v>
      </c>
      <c r="G175">
        <v>7.2</v>
      </c>
      <c r="H175" t="s">
        <v>17</v>
      </c>
      <c r="I175" t="s">
        <v>5</v>
      </c>
      <c r="J175">
        <v>20</v>
      </c>
    </row>
    <row r="176" spans="1:10" x14ac:dyDescent="0.35">
      <c r="A176">
        <v>175</v>
      </c>
      <c r="B176">
        <v>38</v>
      </c>
      <c r="C176" t="s">
        <v>23</v>
      </c>
      <c r="D176">
        <v>59000</v>
      </c>
      <c r="E176" t="s">
        <v>15</v>
      </c>
      <c r="F176">
        <v>430</v>
      </c>
      <c r="G176">
        <v>6.9</v>
      </c>
      <c r="H176" t="s">
        <v>17</v>
      </c>
      <c r="I176" t="s">
        <v>3</v>
      </c>
      <c r="J176">
        <v>20</v>
      </c>
    </row>
    <row r="177" spans="1:10" x14ac:dyDescent="0.35">
      <c r="A177">
        <v>176</v>
      </c>
      <c r="B177">
        <v>54</v>
      </c>
      <c r="C177" t="s">
        <v>18</v>
      </c>
      <c r="D177">
        <v>74000</v>
      </c>
      <c r="E177" t="s">
        <v>19</v>
      </c>
      <c r="F177">
        <v>630</v>
      </c>
      <c r="G177">
        <v>9.4</v>
      </c>
      <c r="H177" t="s">
        <v>20</v>
      </c>
      <c r="I177" t="s">
        <v>4</v>
      </c>
      <c r="J177">
        <v>27</v>
      </c>
    </row>
    <row r="178" spans="1:10" x14ac:dyDescent="0.35">
      <c r="A178">
        <v>177</v>
      </c>
      <c r="B178">
        <v>32</v>
      </c>
      <c r="C178" t="s">
        <v>14</v>
      </c>
      <c r="D178">
        <v>52000</v>
      </c>
      <c r="E178" t="s">
        <v>15</v>
      </c>
      <c r="F178">
        <v>360</v>
      </c>
      <c r="G178">
        <v>5.8</v>
      </c>
      <c r="H178" t="s">
        <v>17</v>
      </c>
      <c r="I178" t="s">
        <v>5</v>
      </c>
      <c r="J178">
        <v>18</v>
      </c>
    </row>
    <row r="179" spans="1:10" x14ac:dyDescent="0.35">
      <c r="A179">
        <v>178</v>
      </c>
      <c r="B179">
        <v>31</v>
      </c>
      <c r="C179" t="s">
        <v>14</v>
      </c>
      <c r="D179">
        <v>51000</v>
      </c>
      <c r="E179" t="s">
        <v>15</v>
      </c>
      <c r="F179">
        <v>340</v>
      </c>
      <c r="G179">
        <v>5.6</v>
      </c>
      <c r="H179" t="s">
        <v>17</v>
      </c>
      <c r="I179" t="s">
        <v>3</v>
      </c>
      <c r="J179">
        <v>17</v>
      </c>
    </row>
    <row r="180" spans="1:10" x14ac:dyDescent="0.35">
      <c r="A180">
        <v>179</v>
      </c>
      <c r="B180">
        <v>42</v>
      </c>
      <c r="C180" t="s">
        <v>23</v>
      </c>
      <c r="D180">
        <v>62000</v>
      </c>
      <c r="E180" t="s">
        <v>19</v>
      </c>
      <c r="F180">
        <v>520</v>
      </c>
      <c r="G180">
        <v>8.1999999999999993</v>
      </c>
      <c r="H180" t="s">
        <v>20</v>
      </c>
      <c r="I180" t="s">
        <v>4</v>
      </c>
      <c r="J180">
        <v>23</v>
      </c>
    </row>
    <row r="181" spans="1:10" x14ac:dyDescent="0.35">
      <c r="A181">
        <v>180</v>
      </c>
      <c r="B181">
        <v>55</v>
      </c>
      <c r="C181" t="s">
        <v>18</v>
      </c>
      <c r="D181">
        <v>75000</v>
      </c>
      <c r="E181" t="s">
        <v>19</v>
      </c>
      <c r="F181">
        <v>640</v>
      </c>
      <c r="G181">
        <v>9.5</v>
      </c>
      <c r="H181" t="s">
        <v>20</v>
      </c>
      <c r="I181" t="s">
        <v>5</v>
      </c>
      <c r="J181">
        <v>28</v>
      </c>
    </row>
    <row r="182" spans="1:10" x14ac:dyDescent="0.35">
      <c r="A182">
        <v>181</v>
      </c>
      <c r="B182">
        <v>29</v>
      </c>
      <c r="C182" t="s">
        <v>14</v>
      </c>
      <c r="D182">
        <v>46000</v>
      </c>
      <c r="E182" t="s">
        <v>15</v>
      </c>
      <c r="F182">
        <v>270</v>
      </c>
      <c r="G182">
        <v>4.3</v>
      </c>
      <c r="H182" t="s">
        <v>16</v>
      </c>
      <c r="I182" t="s">
        <v>3</v>
      </c>
      <c r="J182">
        <v>15</v>
      </c>
    </row>
    <row r="183" spans="1:10" x14ac:dyDescent="0.35">
      <c r="A183">
        <v>182</v>
      </c>
      <c r="B183">
        <v>33</v>
      </c>
      <c r="C183" t="s">
        <v>14</v>
      </c>
      <c r="D183">
        <v>53000</v>
      </c>
      <c r="E183" t="s">
        <v>15</v>
      </c>
      <c r="F183">
        <v>380</v>
      </c>
      <c r="G183">
        <v>6</v>
      </c>
      <c r="H183" t="s">
        <v>17</v>
      </c>
      <c r="I183" t="s">
        <v>4</v>
      </c>
      <c r="J183">
        <v>18</v>
      </c>
    </row>
    <row r="184" spans="1:10" x14ac:dyDescent="0.35">
      <c r="A184">
        <v>183</v>
      </c>
      <c r="B184">
        <v>51</v>
      </c>
      <c r="C184" t="s">
        <v>18</v>
      </c>
      <c r="D184">
        <v>71000</v>
      </c>
      <c r="E184" t="s">
        <v>19</v>
      </c>
      <c r="F184">
        <v>600</v>
      </c>
      <c r="G184">
        <v>9</v>
      </c>
      <c r="H184" t="s">
        <v>20</v>
      </c>
      <c r="I184" t="s">
        <v>5</v>
      </c>
      <c r="J184">
        <v>25</v>
      </c>
    </row>
    <row r="185" spans="1:10" x14ac:dyDescent="0.35">
      <c r="A185">
        <v>184</v>
      </c>
      <c r="B185">
        <v>27</v>
      </c>
      <c r="C185" t="s">
        <v>14</v>
      </c>
      <c r="D185">
        <v>43000</v>
      </c>
      <c r="E185" t="s">
        <v>15</v>
      </c>
      <c r="F185">
        <v>230</v>
      </c>
      <c r="G185">
        <v>4</v>
      </c>
      <c r="H185" t="s">
        <v>16</v>
      </c>
      <c r="I185" t="s">
        <v>3</v>
      </c>
      <c r="J185">
        <v>14</v>
      </c>
    </row>
    <row r="186" spans="1:10" x14ac:dyDescent="0.35">
      <c r="A186">
        <v>185</v>
      </c>
      <c r="B186">
        <v>43</v>
      </c>
      <c r="C186" t="s">
        <v>23</v>
      </c>
      <c r="D186">
        <v>63000</v>
      </c>
      <c r="E186" t="s">
        <v>19</v>
      </c>
      <c r="F186">
        <v>470</v>
      </c>
      <c r="G186">
        <v>7.8</v>
      </c>
      <c r="H186" t="s">
        <v>17</v>
      </c>
      <c r="I186" t="s">
        <v>4</v>
      </c>
      <c r="J186">
        <v>21</v>
      </c>
    </row>
    <row r="187" spans="1:10" x14ac:dyDescent="0.35">
      <c r="A187">
        <v>186</v>
      </c>
      <c r="B187">
        <v>41</v>
      </c>
      <c r="C187" t="s">
        <v>23</v>
      </c>
      <c r="D187">
        <v>61000</v>
      </c>
      <c r="E187" t="s">
        <v>19</v>
      </c>
      <c r="F187">
        <v>480</v>
      </c>
      <c r="G187">
        <v>7.7</v>
      </c>
      <c r="H187" t="s">
        <v>17</v>
      </c>
      <c r="I187" t="s">
        <v>5</v>
      </c>
      <c r="J187">
        <v>22</v>
      </c>
    </row>
    <row r="188" spans="1:10" x14ac:dyDescent="0.35">
      <c r="A188">
        <v>187</v>
      </c>
      <c r="B188">
        <v>50</v>
      </c>
      <c r="C188" t="s">
        <v>18</v>
      </c>
      <c r="D188">
        <v>70000</v>
      </c>
      <c r="E188" t="s">
        <v>19</v>
      </c>
      <c r="F188">
        <v>600</v>
      </c>
      <c r="G188">
        <v>9</v>
      </c>
      <c r="H188" t="s">
        <v>20</v>
      </c>
      <c r="I188" t="s">
        <v>3</v>
      </c>
      <c r="J188">
        <v>25</v>
      </c>
    </row>
    <row r="189" spans="1:10" x14ac:dyDescent="0.35">
      <c r="A189">
        <v>188</v>
      </c>
      <c r="B189">
        <v>24</v>
      </c>
      <c r="C189" t="s">
        <v>21</v>
      </c>
      <c r="D189">
        <v>32000</v>
      </c>
      <c r="E189" t="s">
        <v>22</v>
      </c>
      <c r="F189">
        <v>170</v>
      </c>
      <c r="G189">
        <v>3.3</v>
      </c>
      <c r="H189" t="s">
        <v>16</v>
      </c>
      <c r="I189" t="s">
        <v>4</v>
      </c>
      <c r="J189">
        <v>11</v>
      </c>
    </row>
    <row r="190" spans="1:10" x14ac:dyDescent="0.35">
      <c r="A190">
        <v>189</v>
      </c>
      <c r="B190">
        <v>48</v>
      </c>
      <c r="C190" t="s">
        <v>18</v>
      </c>
      <c r="D190">
        <v>68000</v>
      </c>
      <c r="E190" t="s">
        <v>19</v>
      </c>
      <c r="F190">
        <v>550</v>
      </c>
      <c r="G190">
        <v>8.5</v>
      </c>
      <c r="H190" t="s">
        <v>20</v>
      </c>
      <c r="I190" t="s">
        <v>5</v>
      </c>
      <c r="J190">
        <v>24</v>
      </c>
    </row>
    <row r="191" spans="1:10" x14ac:dyDescent="0.35">
      <c r="A191">
        <v>190</v>
      </c>
      <c r="B191">
        <v>30</v>
      </c>
      <c r="C191" t="s">
        <v>14</v>
      </c>
      <c r="D191">
        <v>49000</v>
      </c>
      <c r="E191" t="s">
        <v>15</v>
      </c>
      <c r="F191">
        <v>300</v>
      </c>
      <c r="G191">
        <v>5</v>
      </c>
      <c r="H191" t="s">
        <v>17</v>
      </c>
      <c r="I191" t="s">
        <v>3</v>
      </c>
      <c r="J191">
        <v>16</v>
      </c>
    </row>
    <row r="192" spans="1:10" x14ac:dyDescent="0.35">
      <c r="A192">
        <v>191</v>
      </c>
      <c r="B192">
        <v>39</v>
      </c>
      <c r="C192" t="s">
        <v>23</v>
      </c>
      <c r="D192">
        <v>57000</v>
      </c>
      <c r="E192" t="s">
        <v>15</v>
      </c>
      <c r="F192">
        <v>440</v>
      </c>
      <c r="G192">
        <v>7</v>
      </c>
      <c r="H192" t="s">
        <v>17</v>
      </c>
      <c r="I192" t="s">
        <v>4</v>
      </c>
      <c r="J192">
        <v>21</v>
      </c>
    </row>
    <row r="193" spans="1:10" x14ac:dyDescent="0.35">
      <c r="A193">
        <v>192</v>
      </c>
      <c r="B193">
        <v>37</v>
      </c>
      <c r="C193" t="s">
        <v>23</v>
      </c>
      <c r="D193">
        <v>58000</v>
      </c>
      <c r="E193" t="s">
        <v>15</v>
      </c>
      <c r="F193">
        <v>420</v>
      </c>
      <c r="G193">
        <v>6.8</v>
      </c>
      <c r="H193" t="s">
        <v>17</v>
      </c>
      <c r="I193" t="s">
        <v>5</v>
      </c>
      <c r="J193">
        <v>20</v>
      </c>
    </row>
    <row r="194" spans="1:10" x14ac:dyDescent="0.35">
      <c r="A194">
        <v>193</v>
      </c>
      <c r="B194">
        <v>46</v>
      </c>
      <c r="C194" t="s">
        <v>18</v>
      </c>
      <c r="D194">
        <v>66000</v>
      </c>
      <c r="E194" t="s">
        <v>19</v>
      </c>
      <c r="F194">
        <v>510</v>
      </c>
      <c r="G194">
        <v>8.1</v>
      </c>
      <c r="H194" t="s">
        <v>20</v>
      </c>
      <c r="I194" t="s">
        <v>3</v>
      </c>
      <c r="J194">
        <v>22</v>
      </c>
    </row>
    <row r="195" spans="1:10" x14ac:dyDescent="0.35">
      <c r="A195">
        <v>194</v>
      </c>
      <c r="B195">
        <v>33</v>
      </c>
      <c r="C195" t="s">
        <v>14</v>
      </c>
      <c r="D195">
        <v>53000</v>
      </c>
      <c r="E195" t="s">
        <v>15</v>
      </c>
      <c r="F195">
        <v>380</v>
      </c>
      <c r="G195">
        <v>6</v>
      </c>
      <c r="H195" t="s">
        <v>17</v>
      </c>
      <c r="I195" t="s">
        <v>4</v>
      </c>
      <c r="J195">
        <v>18</v>
      </c>
    </row>
    <row r="196" spans="1:10" x14ac:dyDescent="0.35">
      <c r="A196">
        <v>195</v>
      </c>
      <c r="B196">
        <v>52</v>
      </c>
      <c r="C196" t="s">
        <v>18</v>
      </c>
      <c r="D196">
        <v>72000</v>
      </c>
      <c r="E196" t="s">
        <v>19</v>
      </c>
      <c r="F196">
        <v>610</v>
      </c>
      <c r="G196">
        <v>9.1999999999999993</v>
      </c>
      <c r="H196" t="s">
        <v>20</v>
      </c>
      <c r="I196" t="s">
        <v>5</v>
      </c>
      <c r="J196">
        <v>26</v>
      </c>
    </row>
    <row r="197" spans="1:10" x14ac:dyDescent="0.35">
      <c r="A197">
        <v>196</v>
      </c>
      <c r="B197">
        <v>28</v>
      </c>
      <c r="C197" t="s">
        <v>14</v>
      </c>
      <c r="D197">
        <v>46000</v>
      </c>
      <c r="E197" t="s">
        <v>15</v>
      </c>
      <c r="F197">
        <v>250</v>
      </c>
      <c r="G197">
        <v>4.2</v>
      </c>
      <c r="H197" t="s">
        <v>16</v>
      </c>
      <c r="I197" t="s">
        <v>3</v>
      </c>
      <c r="J197">
        <v>14</v>
      </c>
    </row>
    <row r="198" spans="1:10" x14ac:dyDescent="0.35">
      <c r="A198">
        <v>197</v>
      </c>
      <c r="B198">
        <v>41</v>
      </c>
      <c r="C198" t="s">
        <v>23</v>
      </c>
      <c r="D198">
        <v>61000</v>
      </c>
      <c r="E198" t="s">
        <v>19</v>
      </c>
      <c r="F198">
        <v>480</v>
      </c>
      <c r="G198">
        <v>7.8</v>
      </c>
      <c r="H198" t="s">
        <v>17</v>
      </c>
      <c r="I198" t="s">
        <v>4</v>
      </c>
      <c r="J198">
        <v>21</v>
      </c>
    </row>
    <row r="199" spans="1:10" x14ac:dyDescent="0.35">
      <c r="A199">
        <v>198</v>
      </c>
      <c r="B199">
        <v>50</v>
      </c>
      <c r="C199" t="s">
        <v>18</v>
      </c>
      <c r="D199">
        <v>70000</v>
      </c>
      <c r="E199" t="s">
        <v>19</v>
      </c>
      <c r="F199">
        <v>600</v>
      </c>
      <c r="G199">
        <v>9</v>
      </c>
      <c r="H199" t="s">
        <v>20</v>
      </c>
      <c r="I199" t="s">
        <v>5</v>
      </c>
      <c r="J199">
        <v>25</v>
      </c>
    </row>
    <row r="200" spans="1:10" x14ac:dyDescent="0.35">
      <c r="A200">
        <v>199</v>
      </c>
      <c r="B200">
        <v>36</v>
      </c>
      <c r="C200" t="s">
        <v>23</v>
      </c>
      <c r="D200">
        <v>54000</v>
      </c>
      <c r="E200" t="s">
        <v>15</v>
      </c>
      <c r="F200">
        <v>400</v>
      </c>
      <c r="G200">
        <v>6.5</v>
      </c>
      <c r="H200" t="s">
        <v>17</v>
      </c>
      <c r="I200" t="s">
        <v>3</v>
      </c>
      <c r="J200">
        <v>19</v>
      </c>
    </row>
    <row r="201" spans="1:10" x14ac:dyDescent="0.35">
      <c r="A201">
        <v>200</v>
      </c>
      <c r="B201">
        <v>24</v>
      </c>
      <c r="C201" t="s">
        <v>21</v>
      </c>
      <c r="D201">
        <v>32000</v>
      </c>
      <c r="E201" t="s">
        <v>22</v>
      </c>
      <c r="F201">
        <v>170</v>
      </c>
      <c r="G201">
        <v>3.3</v>
      </c>
      <c r="H201" t="s">
        <v>16</v>
      </c>
      <c r="I201" t="s">
        <v>4</v>
      </c>
      <c r="J201">
        <v>11</v>
      </c>
    </row>
    <row r="202" spans="1:10" x14ac:dyDescent="0.35">
      <c r="A202">
        <v>201</v>
      </c>
      <c r="B202">
        <v>49</v>
      </c>
      <c r="C202" t="s">
        <v>18</v>
      </c>
      <c r="D202">
        <v>69000</v>
      </c>
      <c r="E202" t="s">
        <v>19</v>
      </c>
      <c r="F202">
        <v>590</v>
      </c>
      <c r="G202">
        <v>8.9</v>
      </c>
      <c r="H202" t="s">
        <v>20</v>
      </c>
      <c r="I202" t="s">
        <v>5</v>
      </c>
      <c r="J202">
        <v>24</v>
      </c>
    </row>
    <row r="203" spans="1:10" x14ac:dyDescent="0.35">
      <c r="A203">
        <v>202</v>
      </c>
      <c r="B203">
        <v>26</v>
      </c>
      <c r="C203" t="s">
        <v>14</v>
      </c>
      <c r="D203">
        <v>44000</v>
      </c>
      <c r="E203" t="s">
        <v>15</v>
      </c>
      <c r="F203">
        <v>240</v>
      </c>
      <c r="G203">
        <v>4.3</v>
      </c>
      <c r="H203" t="s">
        <v>16</v>
      </c>
      <c r="I203" t="s">
        <v>3</v>
      </c>
      <c r="J203">
        <v>14</v>
      </c>
    </row>
    <row r="204" spans="1:10" x14ac:dyDescent="0.35">
      <c r="A204">
        <v>203</v>
      </c>
      <c r="B204">
        <v>45</v>
      </c>
      <c r="C204" t="s">
        <v>18</v>
      </c>
      <c r="D204">
        <v>65000</v>
      </c>
      <c r="E204" t="s">
        <v>19</v>
      </c>
      <c r="F204">
        <v>500</v>
      </c>
      <c r="G204">
        <v>8</v>
      </c>
      <c r="H204" t="s">
        <v>20</v>
      </c>
      <c r="I204" t="s">
        <v>4</v>
      </c>
      <c r="J204">
        <v>22</v>
      </c>
    </row>
    <row r="205" spans="1:10" x14ac:dyDescent="0.35">
      <c r="A205">
        <v>204</v>
      </c>
      <c r="B205">
        <v>40</v>
      </c>
      <c r="C205" t="s">
        <v>23</v>
      </c>
      <c r="D205">
        <v>60000</v>
      </c>
      <c r="E205" t="s">
        <v>19</v>
      </c>
      <c r="F205">
        <v>450</v>
      </c>
      <c r="G205">
        <v>7.2</v>
      </c>
      <c r="H205" t="s">
        <v>17</v>
      </c>
      <c r="I205" t="s">
        <v>5</v>
      </c>
      <c r="J205">
        <v>20</v>
      </c>
    </row>
    <row r="206" spans="1:10" x14ac:dyDescent="0.35">
      <c r="A206">
        <v>205</v>
      </c>
      <c r="B206">
        <v>38</v>
      </c>
      <c r="C206" t="s">
        <v>23</v>
      </c>
      <c r="D206">
        <v>59000</v>
      </c>
      <c r="E206" t="s">
        <v>15</v>
      </c>
      <c r="F206">
        <v>430</v>
      </c>
      <c r="G206">
        <v>6.9</v>
      </c>
      <c r="H206" t="s">
        <v>17</v>
      </c>
      <c r="I206" t="s">
        <v>3</v>
      </c>
      <c r="J206">
        <v>20</v>
      </c>
    </row>
    <row r="207" spans="1:10" x14ac:dyDescent="0.35">
      <c r="A207">
        <v>206</v>
      </c>
      <c r="B207">
        <v>54</v>
      </c>
      <c r="C207" t="s">
        <v>18</v>
      </c>
      <c r="D207">
        <v>74000</v>
      </c>
      <c r="E207" t="s">
        <v>19</v>
      </c>
      <c r="F207">
        <v>630</v>
      </c>
      <c r="G207">
        <v>9.4</v>
      </c>
      <c r="H207" t="s">
        <v>20</v>
      </c>
      <c r="I207" t="s">
        <v>4</v>
      </c>
      <c r="J207">
        <v>27</v>
      </c>
    </row>
    <row r="208" spans="1:10" x14ac:dyDescent="0.35">
      <c r="A208">
        <v>207</v>
      </c>
      <c r="B208">
        <v>32</v>
      </c>
      <c r="C208" t="s">
        <v>14</v>
      </c>
      <c r="D208">
        <v>52000</v>
      </c>
      <c r="E208" t="s">
        <v>15</v>
      </c>
      <c r="F208">
        <v>360</v>
      </c>
      <c r="G208">
        <v>5.8</v>
      </c>
      <c r="H208" t="s">
        <v>17</v>
      </c>
      <c r="I208" t="s">
        <v>5</v>
      </c>
      <c r="J208">
        <v>18</v>
      </c>
    </row>
    <row r="209" spans="1:10" x14ac:dyDescent="0.35">
      <c r="A209">
        <v>208</v>
      </c>
      <c r="B209">
        <v>31</v>
      </c>
      <c r="C209" t="s">
        <v>14</v>
      </c>
      <c r="D209">
        <v>51000</v>
      </c>
      <c r="E209" t="s">
        <v>15</v>
      </c>
      <c r="F209">
        <v>340</v>
      </c>
      <c r="G209">
        <v>5.6</v>
      </c>
      <c r="H209" t="s">
        <v>17</v>
      </c>
      <c r="I209" t="s">
        <v>3</v>
      </c>
      <c r="J209">
        <v>17</v>
      </c>
    </row>
    <row r="210" spans="1:10" x14ac:dyDescent="0.35">
      <c r="A210">
        <v>209</v>
      </c>
      <c r="B210">
        <v>42</v>
      </c>
      <c r="C210" t="s">
        <v>23</v>
      </c>
      <c r="D210">
        <v>62000</v>
      </c>
      <c r="E210" t="s">
        <v>19</v>
      </c>
      <c r="F210">
        <v>520</v>
      </c>
      <c r="G210">
        <v>8.1999999999999993</v>
      </c>
      <c r="H210" t="s">
        <v>20</v>
      </c>
      <c r="I210" t="s">
        <v>4</v>
      </c>
      <c r="J210">
        <v>23</v>
      </c>
    </row>
    <row r="211" spans="1:10" x14ac:dyDescent="0.35">
      <c r="A211">
        <v>210</v>
      </c>
      <c r="B211">
        <v>55</v>
      </c>
      <c r="C211" t="s">
        <v>18</v>
      </c>
      <c r="D211">
        <v>75000</v>
      </c>
      <c r="E211" t="s">
        <v>19</v>
      </c>
      <c r="F211">
        <v>640</v>
      </c>
      <c r="G211">
        <v>9.5</v>
      </c>
      <c r="H211" t="s">
        <v>20</v>
      </c>
      <c r="I211" t="s">
        <v>5</v>
      </c>
      <c r="J211">
        <v>28</v>
      </c>
    </row>
    <row r="212" spans="1:10" x14ac:dyDescent="0.35">
      <c r="A212">
        <v>211</v>
      </c>
      <c r="B212">
        <v>29</v>
      </c>
      <c r="C212" t="s">
        <v>14</v>
      </c>
      <c r="D212">
        <v>46000</v>
      </c>
      <c r="E212" t="s">
        <v>15</v>
      </c>
      <c r="F212">
        <v>270</v>
      </c>
      <c r="G212">
        <v>4.3</v>
      </c>
      <c r="H212" t="s">
        <v>16</v>
      </c>
      <c r="I212" t="s">
        <v>3</v>
      </c>
      <c r="J212">
        <v>15</v>
      </c>
    </row>
    <row r="213" spans="1:10" x14ac:dyDescent="0.35">
      <c r="A213">
        <v>212</v>
      </c>
      <c r="B213">
        <v>33</v>
      </c>
      <c r="C213" t="s">
        <v>14</v>
      </c>
      <c r="D213">
        <v>53000</v>
      </c>
      <c r="E213" t="s">
        <v>15</v>
      </c>
      <c r="F213">
        <v>380</v>
      </c>
      <c r="G213">
        <v>6</v>
      </c>
      <c r="H213" t="s">
        <v>17</v>
      </c>
      <c r="I213" t="s">
        <v>4</v>
      </c>
      <c r="J213">
        <v>18</v>
      </c>
    </row>
    <row r="214" spans="1:10" x14ac:dyDescent="0.35">
      <c r="A214">
        <v>213</v>
      </c>
      <c r="B214">
        <v>51</v>
      </c>
      <c r="C214" t="s">
        <v>18</v>
      </c>
      <c r="D214">
        <v>71000</v>
      </c>
      <c r="E214" t="s">
        <v>19</v>
      </c>
      <c r="F214">
        <v>600</v>
      </c>
      <c r="G214">
        <v>9</v>
      </c>
      <c r="H214" t="s">
        <v>20</v>
      </c>
      <c r="I214" t="s">
        <v>5</v>
      </c>
      <c r="J214">
        <v>25</v>
      </c>
    </row>
    <row r="215" spans="1:10" x14ac:dyDescent="0.35">
      <c r="A215">
        <v>214</v>
      </c>
      <c r="B215">
        <v>27</v>
      </c>
      <c r="C215" t="s">
        <v>14</v>
      </c>
      <c r="D215">
        <v>43000</v>
      </c>
      <c r="E215" t="s">
        <v>15</v>
      </c>
      <c r="F215">
        <v>230</v>
      </c>
      <c r="G215">
        <v>4</v>
      </c>
      <c r="H215" t="s">
        <v>16</v>
      </c>
      <c r="I215" t="s">
        <v>3</v>
      </c>
      <c r="J215">
        <v>14</v>
      </c>
    </row>
    <row r="216" spans="1:10" x14ac:dyDescent="0.35">
      <c r="A216">
        <v>215</v>
      </c>
      <c r="B216">
        <v>43</v>
      </c>
      <c r="C216" t="s">
        <v>23</v>
      </c>
      <c r="D216">
        <v>63000</v>
      </c>
      <c r="E216" t="s">
        <v>19</v>
      </c>
      <c r="F216">
        <v>470</v>
      </c>
      <c r="G216">
        <v>7.8</v>
      </c>
      <c r="H216" t="s">
        <v>17</v>
      </c>
      <c r="I216" t="s">
        <v>4</v>
      </c>
      <c r="J216">
        <v>21</v>
      </c>
    </row>
    <row r="217" spans="1:10" x14ac:dyDescent="0.35">
      <c r="A217">
        <v>216</v>
      </c>
      <c r="B217">
        <v>41</v>
      </c>
      <c r="C217" t="s">
        <v>23</v>
      </c>
      <c r="D217">
        <v>61000</v>
      </c>
      <c r="E217" t="s">
        <v>19</v>
      </c>
      <c r="F217">
        <v>480</v>
      </c>
      <c r="G217">
        <v>7.7</v>
      </c>
      <c r="H217" t="s">
        <v>17</v>
      </c>
      <c r="I217" t="s">
        <v>5</v>
      </c>
      <c r="J217">
        <v>22</v>
      </c>
    </row>
    <row r="218" spans="1:10" x14ac:dyDescent="0.35">
      <c r="A218">
        <v>217</v>
      </c>
      <c r="B218">
        <v>50</v>
      </c>
      <c r="C218" t="s">
        <v>18</v>
      </c>
      <c r="D218">
        <v>70000</v>
      </c>
      <c r="E218" t="s">
        <v>19</v>
      </c>
      <c r="F218">
        <v>600</v>
      </c>
      <c r="G218">
        <v>9</v>
      </c>
      <c r="H218" t="s">
        <v>20</v>
      </c>
      <c r="I218" t="s">
        <v>3</v>
      </c>
      <c r="J218">
        <v>25</v>
      </c>
    </row>
    <row r="219" spans="1:10" x14ac:dyDescent="0.35">
      <c r="A219">
        <v>218</v>
      </c>
      <c r="B219">
        <v>24</v>
      </c>
      <c r="C219" t="s">
        <v>21</v>
      </c>
      <c r="D219">
        <v>32000</v>
      </c>
      <c r="E219" t="s">
        <v>22</v>
      </c>
      <c r="F219">
        <v>170</v>
      </c>
      <c r="G219">
        <v>3.3</v>
      </c>
      <c r="H219" t="s">
        <v>16</v>
      </c>
      <c r="I219" t="s">
        <v>4</v>
      </c>
      <c r="J219">
        <v>11</v>
      </c>
    </row>
    <row r="220" spans="1:10" x14ac:dyDescent="0.35">
      <c r="A220">
        <v>219</v>
      </c>
      <c r="B220">
        <v>48</v>
      </c>
      <c r="C220" t="s">
        <v>18</v>
      </c>
      <c r="D220">
        <v>68000</v>
      </c>
      <c r="E220" t="s">
        <v>19</v>
      </c>
      <c r="F220">
        <v>550</v>
      </c>
      <c r="G220">
        <v>8.5</v>
      </c>
      <c r="H220" t="s">
        <v>20</v>
      </c>
      <c r="I220" t="s">
        <v>5</v>
      </c>
      <c r="J220">
        <v>24</v>
      </c>
    </row>
    <row r="221" spans="1:10" x14ac:dyDescent="0.35">
      <c r="A221">
        <v>220</v>
      </c>
      <c r="B221">
        <v>30</v>
      </c>
      <c r="C221" t="s">
        <v>14</v>
      </c>
      <c r="D221">
        <v>49000</v>
      </c>
      <c r="E221" t="s">
        <v>15</v>
      </c>
      <c r="F221">
        <v>300</v>
      </c>
      <c r="G221">
        <v>5</v>
      </c>
      <c r="H221" t="s">
        <v>17</v>
      </c>
      <c r="I221" t="s">
        <v>3</v>
      </c>
      <c r="J221">
        <v>16</v>
      </c>
    </row>
    <row r="222" spans="1:10" x14ac:dyDescent="0.35">
      <c r="A222">
        <v>221</v>
      </c>
      <c r="B222">
        <v>39</v>
      </c>
      <c r="C222" t="s">
        <v>23</v>
      </c>
      <c r="D222">
        <v>57000</v>
      </c>
      <c r="E222" t="s">
        <v>15</v>
      </c>
      <c r="F222">
        <v>440</v>
      </c>
      <c r="G222">
        <v>7</v>
      </c>
      <c r="H222" t="s">
        <v>17</v>
      </c>
      <c r="I222" t="s">
        <v>4</v>
      </c>
      <c r="J222">
        <v>21</v>
      </c>
    </row>
    <row r="223" spans="1:10" x14ac:dyDescent="0.35">
      <c r="A223">
        <v>222</v>
      </c>
      <c r="B223">
        <v>37</v>
      </c>
      <c r="C223" t="s">
        <v>23</v>
      </c>
      <c r="D223">
        <v>58000</v>
      </c>
      <c r="E223" t="s">
        <v>15</v>
      </c>
      <c r="F223">
        <v>420</v>
      </c>
      <c r="G223">
        <v>6.8</v>
      </c>
      <c r="H223" t="s">
        <v>17</v>
      </c>
      <c r="I223" t="s">
        <v>5</v>
      </c>
      <c r="J223">
        <v>20</v>
      </c>
    </row>
    <row r="224" spans="1:10" x14ac:dyDescent="0.35">
      <c r="A224">
        <v>223</v>
      </c>
      <c r="B224">
        <v>46</v>
      </c>
      <c r="C224" t="s">
        <v>18</v>
      </c>
      <c r="D224">
        <v>66000</v>
      </c>
      <c r="E224" t="s">
        <v>19</v>
      </c>
      <c r="F224">
        <v>510</v>
      </c>
      <c r="G224">
        <v>8.1</v>
      </c>
      <c r="H224" t="s">
        <v>20</v>
      </c>
      <c r="I224" t="s">
        <v>3</v>
      </c>
      <c r="J224">
        <v>22</v>
      </c>
    </row>
    <row r="225" spans="1:10" x14ac:dyDescent="0.35">
      <c r="A225">
        <v>224</v>
      </c>
      <c r="B225">
        <v>33</v>
      </c>
      <c r="C225" t="s">
        <v>14</v>
      </c>
      <c r="D225">
        <v>53000</v>
      </c>
      <c r="E225" t="s">
        <v>15</v>
      </c>
      <c r="F225">
        <v>380</v>
      </c>
      <c r="G225">
        <v>6</v>
      </c>
      <c r="H225" t="s">
        <v>17</v>
      </c>
      <c r="I225" t="s">
        <v>4</v>
      </c>
      <c r="J225">
        <v>18</v>
      </c>
    </row>
    <row r="226" spans="1:10" x14ac:dyDescent="0.35">
      <c r="A226">
        <v>225</v>
      </c>
      <c r="B226">
        <v>52</v>
      </c>
      <c r="C226" t="s">
        <v>18</v>
      </c>
      <c r="D226">
        <v>72000</v>
      </c>
      <c r="E226" t="s">
        <v>19</v>
      </c>
      <c r="F226">
        <v>610</v>
      </c>
      <c r="G226">
        <v>9.1999999999999993</v>
      </c>
      <c r="H226" t="s">
        <v>20</v>
      </c>
      <c r="I226" t="s">
        <v>5</v>
      </c>
      <c r="J226">
        <v>26</v>
      </c>
    </row>
    <row r="227" spans="1:10" x14ac:dyDescent="0.35">
      <c r="A227">
        <v>226</v>
      </c>
      <c r="B227">
        <v>28</v>
      </c>
      <c r="C227" t="s">
        <v>14</v>
      </c>
      <c r="D227">
        <v>46000</v>
      </c>
      <c r="E227" t="s">
        <v>15</v>
      </c>
      <c r="F227">
        <v>250</v>
      </c>
      <c r="G227">
        <v>4.2</v>
      </c>
      <c r="H227" t="s">
        <v>16</v>
      </c>
      <c r="I227" t="s">
        <v>3</v>
      </c>
      <c r="J227">
        <v>14</v>
      </c>
    </row>
    <row r="228" spans="1:10" x14ac:dyDescent="0.35">
      <c r="A228">
        <v>227</v>
      </c>
      <c r="B228">
        <v>41</v>
      </c>
      <c r="C228" t="s">
        <v>23</v>
      </c>
      <c r="D228">
        <v>61000</v>
      </c>
      <c r="E228" t="s">
        <v>19</v>
      </c>
      <c r="F228">
        <v>480</v>
      </c>
      <c r="G228">
        <v>7.8</v>
      </c>
      <c r="H228" t="s">
        <v>17</v>
      </c>
      <c r="I228" t="s">
        <v>4</v>
      </c>
      <c r="J228">
        <v>21</v>
      </c>
    </row>
    <row r="229" spans="1:10" x14ac:dyDescent="0.35">
      <c r="A229">
        <v>228</v>
      </c>
      <c r="B229">
        <v>50</v>
      </c>
      <c r="C229" t="s">
        <v>18</v>
      </c>
      <c r="D229">
        <v>70000</v>
      </c>
      <c r="E229" t="s">
        <v>19</v>
      </c>
      <c r="F229">
        <v>600</v>
      </c>
      <c r="G229">
        <v>9</v>
      </c>
      <c r="H229" t="s">
        <v>20</v>
      </c>
      <c r="I229" t="s">
        <v>5</v>
      </c>
      <c r="J229">
        <v>25</v>
      </c>
    </row>
    <row r="230" spans="1:10" x14ac:dyDescent="0.35">
      <c r="A230">
        <v>229</v>
      </c>
      <c r="B230">
        <v>36</v>
      </c>
      <c r="C230" t="s">
        <v>23</v>
      </c>
      <c r="D230">
        <v>54000</v>
      </c>
      <c r="E230" t="s">
        <v>15</v>
      </c>
      <c r="F230">
        <v>400</v>
      </c>
      <c r="G230">
        <v>6.5</v>
      </c>
      <c r="H230" t="s">
        <v>17</v>
      </c>
      <c r="I230" t="s">
        <v>3</v>
      </c>
      <c r="J230">
        <v>19</v>
      </c>
    </row>
    <row r="231" spans="1:10" x14ac:dyDescent="0.35">
      <c r="A231">
        <v>230</v>
      </c>
      <c r="B231">
        <v>24</v>
      </c>
      <c r="C231" t="s">
        <v>21</v>
      </c>
      <c r="D231">
        <v>32000</v>
      </c>
      <c r="E231" t="s">
        <v>22</v>
      </c>
      <c r="F231">
        <v>170</v>
      </c>
      <c r="G231">
        <v>3.3</v>
      </c>
      <c r="H231" t="s">
        <v>16</v>
      </c>
      <c r="I231" t="s">
        <v>4</v>
      </c>
      <c r="J231">
        <v>11</v>
      </c>
    </row>
    <row r="232" spans="1:10" x14ac:dyDescent="0.35">
      <c r="A232">
        <v>231</v>
      </c>
      <c r="B232">
        <v>49</v>
      </c>
      <c r="C232" t="s">
        <v>18</v>
      </c>
      <c r="D232">
        <v>69000</v>
      </c>
      <c r="E232" t="s">
        <v>19</v>
      </c>
      <c r="F232">
        <v>590</v>
      </c>
      <c r="G232">
        <v>8.9</v>
      </c>
      <c r="H232" t="s">
        <v>20</v>
      </c>
      <c r="I232" t="s">
        <v>5</v>
      </c>
      <c r="J232">
        <v>24</v>
      </c>
    </row>
    <row r="233" spans="1:10" x14ac:dyDescent="0.35">
      <c r="A233">
        <v>232</v>
      </c>
      <c r="B233">
        <v>26</v>
      </c>
      <c r="C233" t="s">
        <v>14</v>
      </c>
      <c r="D233">
        <v>44000</v>
      </c>
      <c r="E233" t="s">
        <v>15</v>
      </c>
      <c r="F233">
        <v>240</v>
      </c>
      <c r="G233">
        <v>4.3</v>
      </c>
      <c r="H233" t="s">
        <v>16</v>
      </c>
      <c r="I233" t="s">
        <v>3</v>
      </c>
      <c r="J233">
        <v>14</v>
      </c>
    </row>
    <row r="234" spans="1:10" x14ac:dyDescent="0.35">
      <c r="A234">
        <v>233</v>
      </c>
      <c r="B234">
        <v>45</v>
      </c>
      <c r="C234" t="s">
        <v>18</v>
      </c>
      <c r="D234">
        <v>65000</v>
      </c>
      <c r="E234" t="s">
        <v>19</v>
      </c>
      <c r="F234">
        <v>500</v>
      </c>
      <c r="G234">
        <v>8</v>
      </c>
      <c r="H234" t="s">
        <v>20</v>
      </c>
      <c r="I234" t="s">
        <v>4</v>
      </c>
      <c r="J234">
        <v>22</v>
      </c>
    </row>
    <row r="235" spans="1:10" x14ac:dyDescent="0.35">
      <c r="A235">
        <v>234</v>
      </c>
      <c r="B235">
        <v>40</v>
      </c>
      <c r="C235" t="s">
        <v>23</v>
      </c>
      <c r="D235">
        <v>60000</v>
      </c>
      <c r="E235" t="s">
        <v>19</v>
      </c>
      <c r="F235">
        <v>450</v>
      </c>
      <c r="G235">
        <v>7.2</v>
      </c>
      <c r="H235" t="s">
        <v>17</v>
      </c>
      <c r="I235" t="s">
        <v>5</v>
      </c>
      <c r="J235">
        <v>20</v>
      </c>
    </row>
    <row r="236" spans="1:10" x14ac:dyDescent="0.35">
      <c r="A236">
        <v>235</v>
      </c>
      <c r="B236">
        <v>38</v>
      </c>
      <c r="C236" t="s">
        <v>23</v>
      </c>
      <c r="D236">
        <v>59000</v>
      </c>
      <c r="E236" t="s">
        <v>15</v>
      </c>
      <c r="F236">
        <v>430</v>
      </c>
      <c r="G236">
        <v>6.9</v>
      </c>
      <c r="H236" t="s">
        <v>17</v>
      </c>
      <c r="I236" t="s">
        <v>3</v>
      </c>
      <c r="J236">
        <v>20</v>
      </c>
    </row>
    <row r="237" spans="1:10" x14ac:dyDescent="0.35">
      <c r="A237">
        <v>236</v>
      </c>
      <c r="B237">
        <v>54</v>
      </c>
      <c r="C237" t="s">
        <v>18</v>
      </c>
      <c r="D237">
        <v>74000</v>
      </c>
      <c r="E237" t="s">
        <v>19</v>
      </c>
      <c r="F237">
        <v>630</v>
      </c>
      <c r="G237">
        <v>9.4</v>
      </c>
      <c r="H237" t="s">
        <v>20</v>
      </c>
      <c r="I237" t="s">
        <v>4</v>
      </c>
      <c r="J237">
        <v>27</v>
      </c>
    </row>
    <row r="238" spans="1:10" x14ac:dyDescent="0.35">
      <c r="A238">
        <v>237</v>
      </c>
      <c r="B238">
        <v>32</v>
      </c>
      <c r="C238" t="s">
        <v>14</v>
      </c>
      <c r="D238">
        <v>52000</v>
      </c>
      <c r="E238" t="s">
        <v>15</v>
      </c>
      <c r="F238">
        <v>360</v>
      </c>
      <c r="G238">
        <v>5.8</v>
      </c>
      <c r="H238" t="s">
        <v>17</v>
      </c>
      <c r="I238" t="s">
        <v>5</v>
      </c>
      <c r="J238">
        <v>18</v>
      </c>
    </row>
    <row r="239" spans="1:10" x14ac:dyDescent="0.35">
      <c r="A239">
        <v>238</v>
      </c>
      <c r="B239">
        <v>31</v>
      </c>
      <c r="D239">
        <v>51000</v>
      </c>
      <c r="E239" t="s">
        <v>15</v>
      </c>
      <c r="F239">
        <v>340</v>
      </c>
      <c r="G239">
        <v>5.6</v>
      </c>
      <c r="H239" t="s">
        <v>17</v>
      </c>
      <c r="I239" t="s">
        <v>3</v>
      </c>
      <c r="J239">
        <v>17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56DC3-F334-4B43-95CC-BC9AD4F3FC4D}">
  <dimension ref="A1:K239"/>
  <sheetViews>
    <sheetView workbookViewId="0">
      <selection activeCell="K16" sqref="K16"/>
    </sheetView>
  </sheetViews>
  <sheetFormatPr defaultRowHeight="14.5" x14ac:dyDescent="0.35"/>
  <cols>
    <col min="1" max="1" width="8.90625" customWidth="1"/>
    <col min="3" max="3" width="15.7265625" customWidth="1"/>
    <col min="4" max="4" width="17.90625" customWidth="1"/>
    <col min="5" max="5" width="13.7265625" customWidth="1"/>
    <col min="6" max="6" width="18.1796875" customWidth="1"/>
    <col min="7" max="7" width="19.90625" customWidth="1"/>
    <col min="8" max="8" width="17" customWidth="1"/>
    <col min="10" max="10" width="18.54296875" customWidth="1"/>
  </cols>
  <sheetData>
    <row r="1" spans="1:11" x14ac:dyDescent="0.35">
      <c r="A1" s="2" t="s">
        <v>13</v>
      </c>
      <c r="B1" s="2" t="s">
        <v>0</v>
      </c>
      <c r="C1" s="2" t="s">
        <v>7</v>
      </c>
      <c r="D1" s="3" t="s">
        <v>12</v>
      </c>
      <c r="E1" s="3" t="s">
        <v>8</v>
      </c>
      <c r="F1" s="2" t="s">
        <v>11</v>
      </c>
      <c r="G1" s="2" t="s">
        <v>9</v>
      </c>
      <c r="H1" s="2" t="s">
        <v>10</v>
      </c>
      <c r="I1" s="2" t="s">
        <v>1</v>
      </c>
      <c r="J1" s="2" t="s">
        <v>2</v>
      </c>
      <c r="K1" s="1"/>
    </row>
    <row r="2" spans="1:11" x14ac:dyDescent="0.35">
      <c r="A2" s="4">
        <v>1</v>
      </c>
      <c r="B2" s="4">
        <v>25</v>
      </c>
      <c r="C2" s="4" t="str">
        <f>IF(Table1[[#This Row],[age]]&lt;25,"18-24",IF(Table1[[#This Row],[age]]&lt;35,"25-34",IF(Table1[[#This Row],[age]]&lt;45,"35-44","45+")))</f>
        <v>25-34</v>
      </c>
      <c r="D2" s="5">
        <v>45000</v>
      </c>
      <c r="E2" s="5" t="str">
        <f>IF(Table1[[#This Row],[annual_income]]&lt;40000,"Low",IF(Table1[[#This Row],[annual_income]]&lt;60000,"Medium","High"))</f>
        <v>Medium</v>
      </c>
      <c r="F2" s="6">
        <v>200</v>
      </c>
      <c r="G2" s="4">
        <v>4.5</v>
      </c>
      <c r="H2" s="4" t="str">
        <f>IF(Table1[[#This Row],[loyaltyscore]]&gt;=8,"High Value",IF(Table1[[#This Row],[loyaltyscore]]&gt;=5,"Medium Value","Low Value"))</f>
        <v>Low Value</v>
      </c>
      <c r="I2" s="4" t="s">
        <v>3</v>
      </c>
      <c r="J2" s="4">
        <v>12</v>
      </c>
    </row>
    <row r="3" spans="1:11" x14ac:dyDescent="0.35">
      <c r="A3" s="4">
        <v>2</v>
      </c>
      <c r="B3" s="4">
        <v>34</v>
      </c>
      <c r="C3" s="4" t="str">
        <f>IF(Table1[[#This Row],[age]]&lt;25,"18-24",IF(Table1[[#This Row],[age]]&lt;35,"25-34",IF(Table1[[#This Row],[age]]&lt;45,"35-44","45+")))</f>
        <v>25-34</v>
      </c>
      <c r="D3" s="5">
        <v>55000</v>
      </c>
      <c r="E3" s="5" t="str">
        <f>IF(Table1[[#This Row],[annual_income]]&lt;40000,"Low",IF(Table1[[#This Row],[annual_income]]&lt;60000,"Medium","High"))</f>
        <v>Medium</v>
      </c>
      <c r="F3" s="6">
        <v>350</v>
      </c>
      <c r="G3" s="4">
        <v>7</v>
      </c>
      <c r="H3" s="4" t="str">
        <f>IF(Table1[[#This Row],[loyaltyscore]]&gt;=8,"High Value",IF(Table1[[#This Row],[loyaltyscore]]&gt;=5,"Medium Value","Low Value"))</f>
        <v>Medium Value</v>
      </c>
      <c r="I3" s="4" t="s">
        <v>4</v>
      </c>
      <c r="J3" s="4">
        <v>18</v>
      </c>
    </row>
    <row r="4" spans="1:11" x14ac:dyDescent="0.35">
      <c r="A4" s="4">
        <v>3</v>
      </c>
      <c r="B4" s="4">
        <v>45</v>
      </c>
      <c r="C4" s="4" t="str">
        <f>IF(Table1[[#This Row],[age]]&lt;25,"18-24",IF(Table1[[#This Row],[age]]&lt;35,"25-34",IF(Table1[[#This Row],[age]]&lt;45,"35-44","45+")))</f>
        <v>45+</v>
      </c>
      <c r="D4" s="5">
        <v>65000</v>
      </c>
      <c r="E4" s="5" t="str">
        <f>IF(Table1[[#This Row],[annual_income]]&lt;40000,"Low",IF(Table1[[#This Row],[annual_income]]&lt;60000,"Medium","High"))</f>
        <v>High</v>
      </c>
      <c r="F4" s="6">
        <v>500</v>
      </c>
      <c r="G4" s="4">
        <v>8</v>
      </c>
      <c r="H4" s="4" t="str">
        <f>IF(Table1[[#This Row],[loyaltyscore]]&gt;=8,"High Value",IF(Table1[[#This Row],[loyaltyscore]]&gt;=5,"Medium Value","Low Value"))</f>
        <v>High Value</v>
      </c>
      <c r="I4" s="4" t="s">
        <v>5</v>
      </c>
      <c r="J4" s="4">
        <v>22</v>
      </c>
    </row>
    <row r="5" spans="1:11" x14ac:dyDescent="0.35">
      <c r="A5" s="4">
        <v>4</v>
      </c>
      <c r="B5" s="4">
        <v>22</v>
      </c>
      <c r="C5" s="4" t="str">
        <f>IF(Table1[[#This Row],[age]]&lt;25,"18-24",IF(Table1[[#This Row],[age]]&lt;35,"25-34",IF(Table1[[#This Row],[age]]&lt;45,"35-44","45+")))</f>
        <v>18-24</v>
      </c>
      <c r="D5" s="5">
        <v>30000</v>
      </c>
      <c r="E5" s="5" t="str">
        <f>IF(Table1[[#This Row],[annual_income]]&lt;40000,"Low",IF(Table1[[#This Row],[annual_income]]&lt;60000,"Medium","High"))</f>
        <v>Low</v>
      </c>
      <c r="F5" s="6">
        <v>150</v>
      </c>
      <c r="G5" s="4">
        <v>3</v>
      </c>
      <c r="H5" s="4" t="str">
        <f>IF(Table1[[#This Row],[loyaltyscore]]&gt;=8,"High Value",IF(Table1[[#This Row],[loyaltyscore]]&gt;=5,"Medium Value","Low Value"))</f>
        <v>Low Value</v>
      </c>
      <c r="I5" s="4" t="s">
        <v>6</v>
      </c>
      <c r="J5" s="4">
        <v>10</v>
      </c>
    </row>
    <row r="6" spans="1:11" x14ac:dyDescent="0.35">
      <c r="A6" s="4">
        <v>5</v>
      </c>
      <c r="B6" s="4">
        <v>29</v>
      </c>
      <c r="C6" s="4" t="str">
        <f>IF(Table1[[#This Row],[age]]&lt;25,"18-24",IF(Table1[[#This Row],[age]]&lt;35,"25-34",IF(Table1[[#This Row],[age]]&lt;45,"35-44","45+")))</f>
        <v>25-34</v>
      </c>
      <c r="D6" s="5">
        <v>47000</v>
      </c>
      <c r="E6" s="5" t="str">
        <f>IF(Table1[[#This Row],[annual_income]]&lt;40000,"Low",IF(Table1[[#This Row],[annual_income]]&lt;60000,"Medium","High"))</f>
        <v>Medium</v>
      </c>
      <c r="F6" s="6">
        <v>220</v>
      </c>
      <c r="G6" s="4">
        <v>4.8</v>
      </c>
      <c r="H6" s="4" t="str">
        <f>IF(Table1[[#This Row],[loyaltyscore]]&gt;=8,"High Value",IF(Table1[[#This Row],[loyaltyscore]]&gt;=5,"Medium Value","Low Value"))</f>
        <v>Low Value</v>
      </c>
      <c r="I6" s="4" t="s">
        <v>3</v>
      </c>
      <c r="J6" s="4">
        <v>13</v>
      </c>
    </row>
    <row r="7" spans="1:11" x14ac:dyDescent="0.35">
      <c r="A7" s="4">
        <v>6</v>
      </c>
      <c r="B7" s="4">
        <v>41</v>
      </c>
      <c r="C7" s="4" t="str">
        <f>IF(Table1[[#This Row],[age]]&lt;25,"18-24",IF(Table1[[#This Row],[age]]&lt;35,"25-34",IF(Table1[[#This Row],[age]]&lt;45,"35-44","45+")))</f>
        <v>35-44</v>
      </c>
      <c r="D7" s="5">
        <v>61000</v>
      </c>
      <c r="E7" s="5" t="str">
        <f>IF(Table1[[#This Row],[annual_income]]&lt;40000,"Low",IF(Table1[[#This Row],[annual_income]]&lt;60000,"Medium","High"))</f>
        <v>High</v>
      </c>
      <c r="F7" s="6">
        <v>480</v>
      </c>
      <c r="G7" s="4">
        <v>7.8</v>
      </c>
      <c r="H7" s="4" t="str">
        <f>IF(Table1[[#This Row],[loyaltyscore]]&gt;=8,"High Value",IF(Table1[[#This Row],[loyaltyscore]]&gt;=5,"Medium Value","Low Value"))</f>
        <v>Medium Value</v>
      </c>
      <c r="I7" s="4" t="s">
        <v>4</v>
      </c>
      <c r="J7" s="4">
        <v>21</v>
      </c>
    </row>
    <row r="8" spans="1:11" x14ac:dyDescent="0.35">
      <c r="A8" s="4">
        <v>7</v>
      </c>
      <c r="B8" s="4">
        <v>36</v>
      </c>
      <c r="C8" s="4" t="str">
        <f>IF(Table1[[#This Row],[age]]&lt;25,"18-24",IF(Table1[[#This Row],[age]]&lt;35,"25-34",IF(Table1[[#This Row],[age]]&lt;45,"35-44","45+")))</f>
        <v>35-44</v>
      </c>
      <c r="D8" s="5">
        <v>54000</v>
      </c>
      <c r="E8" s="5" t="str">
        <f>IF(Table1[[#This Row],[annual_income]]&lt;40000,"Low",IF(Table1[[#This Row],[annual_income]]&lt;60000,"Medium","High"))</f>
        <v>Medium</v>
      </c>
      <c r="F8" s="6">
        <v>400</v>
      </c>
      <c r="G8" s="4">
        <v>6.5</v>
      </c>
      <c r="H8" s="4" t="str">
        <f>IF(Table1[[#This Row],[loyaltyscore]]&gt;=8,"High Value",IF(Table1[[#This Row],[loyaltyscore]]&gt;=5,"Medium Value","Low Value"))</f>
        <v>Medium Value</v>
      </c>
      <c r="I8" s="4" t="s">
        <v>5</v>
      </c>
      <c r="J8" s="4">
        <v>19</v>
      </c>
    </row>
    <row r="9" spans="1:11" x14ac:dyDescent="0.35">
      <c r="A9" s="4">
        <v>8</v>
      </c>
      <c r="B9" s="4">
        <v>27</v>
      </c>
      <c r="C9" s="4" t="str">
        <f>IF(Table1[[#This Row],[age]]&lt;25,"18-24",IF(Table1[[#This Row],[age]]&lt;35,"25-34",IF(Table1[[#This Row],[age]]&lt;45,"35-44","45+")))</f>
        <v>25-34</v>
      </c>
      <c r="D9" s="5">
        <v>43000</v>
      </c>
      <c r="E9" s="5" t="str">
        <f>IF(Table1[[#This Row],[annual_income]]&lt;40000,"Low",IF(Table1[[#This Row],[annual_income]]&lt;60000,"Medium","High"))</f>
        <v>Medium</v>
      </c>
      <c r="F9" s="6">
        <v>230</v>
      </c>
      <c r="G9" s="4">
        <v>4.2</v>
      </c>
      <c r="H9" s="4" t="str">
        <f>IF(Table1[[#This Row],[loyaltyscore]]&gt;=8,"High Value",IF(Table1[[#This Row],[loyaltyscore]]&gt;=5,"Medium Value","Low Value"))</f>
        <v>Low Value</v>
      </c>
      <c r="I9" s="4" t="s">
        <v>6</v>
      </c>
      <c r="J9" s="4">
        <v>14</v>
      </c>
    </row>
    <row r="10" spans="1:11" x14ac:dyDescent="0.35">
      <c r="A10" s="4">
        <v>9</v>
      </c>
      <c r="B10" s="4">
        <v>50</v>
      </c>
      <c r="C10" s="4" t="str">
        <f>IF(Table1[[#This Row],[age]]&lt;25,"18-24",IF(Table1[[#This Row],[age]]&lt;35,"25-34",IF(Table1[[#This Row],[age]]&lt;45,"35-44","45+")))</f>
        <v>45+</v>
      </c>
      <c r="D10" s="5">
        <v>70000</v>
      </c>
      <c r="E10" s="5" t="str">
        <f>IF(Table1[[#This Row],[annual_income]]&lt;40000,"Low",IF(Table1[[#This Row],[annual_income]]&lt;60000,"Medium","High"))</f>
        <v>High</v>
      </c>
      <c r="F10" s="6">
        <v>600</v>
      </c>
      <c r="G10" s="4">
        <v>9</v>
      </c>
      <c r="H10" s="4" t="str">
        <f>IF(Table1[[#This Row],[loyaltyscore]]&gt;=8,"High Value",IF(Table1[[#This Row],[loyaltyscore]]&gt;=5,"Medium Value","Low Value"))</f>
        <v>High Value</v>
      </c>
      <c r="I10" s="4" t="s">
        <v>3</v>
      </c>
      <c r="J10" s="4">
        <v>25</v>
      </c>
    </row>
    <row r="11" spans="1:11" x14ac:dyDescent="0.35">
      <c r="A11" s="4">
        <v>10</v>
      </c>
      <c r="B11" s="4">
        <v>31</v>
      </c>
      <c r="C11" s="4" t="str">
        <f>IF(Table1[[#This Row],[age]]&lt;25,"18-24",IF(Table1[[#This Row],[age]]&lt;35,"25-34",IF(Table1[[#This Row],[age]]&lt;45,"35-44","45+")))</f>
        <v>25-34</v>
      </c>
      <c r="D11" s="5">
        <v>50000</v>
      </c>
      <c r="E11" s="5" t="str">
        <f>IF(Table1[[#This Row],[annual_income]]&lt;40000,"Low",IF(Table1[[#This Row],[annual_income]]&lt;60000,"Medium","High"))</f>
        <v>Medium</v>
      </c>
      <c r="F11" s="6">
        <v>320</v>
      </c>
      <c r="G11" s="4">
        <v>5.5</v>
      </c>
      <c r="H11" s="4" t="str">
        <f>IF(Table1[[#This Row],[loyaltyscore]]&gt;=8,"High Value",IF(Table1[[#This Row],[loyaltyscore]]&gt;=5,"Medium Value","Low Value"))</f>
        <v>Medium Value</v>
      </c>
      <c r="I11" s="4" t="s">
        <v>4</v>
      </c>
      <c r="J11" s="4">
        <v>17</v>
      </c>
    </row>
    <row r="12" spans="1:11" x14ac:dyDescent="0.35">
      <c r="A12" s="4">
        <v>11</v>
      </c>
      <c r="B12" s="4">
        <v>28</v>
      </c>
      <c r="C12" s="4" t="str">
        <f>IF(Table1[[#This Row],[age]]&lt;25,"18-24",IF(Table1[[#This Row],[age]]&lt;35,"25-34",IF(Table1[[#This Row],[age]]&lt;45,"35-44","45+")))</f>
        <v>25-34</v>
      </c>
      <c r="D12" s="5">
        <v>46000</v>
      </c>
      <c r="E12" s="5" t="str">
        <f>IF(Table1[[#This Row],[annual_income]]&lt;40000,"Low",IF(Table1[[#This Row],[annual_income]]&lt;60000,"Medium","High"))</f>
        <v>Medium</v>
      </c>
      <c r="F12" s="6">
        <v>250</v>
      </c>
      <c r="G12" s="4">
        <v>4.4000000000000004</v>
      </c>
      <c r="H12" s="4" t="str">
        <f>IF(Table1[[#This Row],[loyaltyscore]]&gt;=8,"High Value",IF(Table1[[#This Row],[loyaltyscore]]&gt;=5,"Medium Value","Low Value"))</f>
        <v>Low Value</v>
      </c>
      <c r="I12" s="4" t="s">
        <v>5</v>
      </c>
      <c r="J12" s="4">
        <v>15</v>
      </c>
    </row>
    <row r="13" spans="1:11" x14ac:dyDescent="0.35">
      <c r="A13" s="4">
        <v>12</v>
      </c>
      <c r="B13" s="4">
        <v>42</v>
      </c>
      <c r="C13" s="4" t="str">
        <f>IF(Table1[[#This Row],[age]]&lt;25,"18-24",IF(Table1[[#This Row],[age]]&lt;35,"25-34",IF(Table1[[#This Row],[age]]&lt;45,"35-44","45+")))</f>
        <v>35-44</v>
      </c>
      <c r="D13" s="5">
        <v>62000</v>
      </c>
      <c r="E13" s="5" t="str">
        <f>IF(Table1[[#This Row],[annual_income]]&lt;40000,"Low",IF(Table1[[#This Row],[annual_income]]&lt;60000,"Medium","High"))</f>
        <v>High</v>
      </c>
      <c r="F13" s="6">
        <v>520</v>
      </c>
      <c r="G13" s="4">
        <v>8.1999999999999993</v>
      </c>
      <c r="H13" s="4" t="str">
        <f>IF(Table1[[#This Row],[loyaltyscore]]&gt;=8,"High Value",IF(Table1[[#This Row],[loyaltyscore]]&gt;=5,"Medium Value","Low Value"))</f>
        <v>High Value</v>
      </c>
      <c r="I13" s="4" t="s">
        <v>3</v>
      </c>
      <c r="J13" s="4">
        <v>23</v>
      </c>
    </row>
    <row r="14" spans="1:11" x14ac:dyDescent="0.35">
      <c r="A14" s="4">
        <v>13</v>
      </c>
      <c r="B14" s="4">
        <v>33</v>
      </c>
      <c r="C14" s="4" t="str">
        <f>IF(Table1[[#This Row],[age]]&lt;25,"18-24",IF(Table1[[#This Row],[age]]&lt;35,"25-34",IF(Table1[[#This Row],[age]]&lt;45,"35-44","45+")))</f>
        <v>25-34</v>
      </c>
      <c r="D14" s="5">
        <v>53000</v>
      </c>
      <c r="E14" s="5" t="str">
        <f>IF(Table1[[#This Row],[annual_income]]&lt;40000,"Low",IF(Table1[[#This Row],[annual_income]]&lt;60000,"Medium","High"))</f>
        <v>Medium</v>
      </c>
      <c r="F14" s="6">
        <v>380</v>
      </c>
      <c r="G14" s="4">
        <v>6</v>
      </c>
      <c r="H14" s="4" t="str">
        <f>IF(Table1[[#This Row],[loyaltyscore]]&gt;=8,"High Value",IF(Table1[[#This Row],[loyaltyscore]]&gt;=5,"Medium Value","Low Value"))</f>
        <v>Medium Value</v>
      </c>
      <c r="I14" s="4" t="s">
        <v>4</v>
      </c>
      <c r="J14" s="4">
        <v>18</v>
      </c>
    </row>
    <row r="15" spans="1:11" x14ac:dyDescent="0.35">
      <c r="A15" s="4">
        <v>14</v>
      </c>
      <c r="B15" s="4">
        <v>37</v>
      </c>
      <c r="C15" s="4" t="str">
        <f>IF(Table1[[#This Row],[age]]&lt;25,"18-24",IF(Table1[[#This Row],[age]]&lt;35,"25-34",IF(Table1[[#This Row],[age]]&lt;45,"35-44","45+")))</f>
        <v>35-44</v>
      </c>
      <c r="D15" s="5">
        <v>58000</v>
      </c>
      <c r="E15" s="5" t="str">
        <f>IF(Table1[[#This Row],[annual_income]]&lt;40000,"Low",IF(Table1[[#This Row],[annual_income]]&lt;60000,"Medium","High"))</f>
        <v>Medium</v>
      </c>
      <c r="F15" s="6">
        <v>420</v>
      </c>
      <c r="G15" s="4">
        <v>6.8</v>
      </c>
      <c r="H15" s="4" t="str">
        <f>IF(Table1[[#This Row],[loyaltyscore]]&gt;=8,"High Value",IF(Table1[[#This Row],[loyaltyscore]]&gt;=5,"Medium Value","Low Value"))</f>
        <v>Medium Value</v>
      </c>
      <c r="I15" s="4" t="s">
        <v>6</v>
      </c>
      <c r="J15" s="4">
        <v>20</v>
      </c>
    </row>
    <row r="16" spans="1:11" x14ac:dyDescent="0.35">
      <c r="A16" s="4">
        <v>15</v>
      </c>
      <c r="B16" s="4">
        <v>49</v>
      </c>
      <c r="C16" s="4" t="str">
        <f>IF(Table1[[#This Row],[age]]&lt;25,"18-24",IF(Table1[[#This Row],[age]]&lt;35,"25-34",IF(Table1[[#This Row],[age]]&lt;45,"35-44","45+")))</f>
        <v>45+</v>
      </c>
      <c r="D16" s="5">
        <v>69000</v>
      </c>
      <c r="E16" s="5" t="str">
        <f>IF(Table1[[#This Row],[annual_income]]&lt;40000,"Low",IF(Table1[[#This Row],[annual_income]]&lt;60000,"Medium","High"))</f>
        <v>High</v>
      </c>
      <c r="F16" s="6">
        <v>590</v>
      </c>
      <c r="G16" s="4">
        <v>8.9</v>
      </c>
      <c r="H16" s="4" t="str">
        <f>IF(Table1[[#This Row],[loyaltyscore]]&gt;=8,"High Value",IF(Table1[[#This Row],[loyaltyscore]]&gt;=5,"Medium Value","Low Value"))</f>
        <v>High Value</v>
      </c>
      <c r="I16" s="4" t="s">
        <v>5</v>
      </c>
      <c r="J16" s="4">
        <v>24</v>
      </c>
    </row>
    <row r="17" spans="1:10" x14ac:dyDescent="0.35">
      <c r="A17" s="4">
        <v>16</v>
      </c>
      <c r="B17" s="4">
        <v>23</v>
      </c>
      <c r="C17" s="4" t="str">
        <f>IF(Table1[[#This Row],[age]]&lt;25,"18-24",IF(Table1[[#This Row],[age]]&lt;35,"25-34",IF(Table1[[#This Row],[age]]&lt;45,"35-44","45+")))</f>
        <v>18-24</v>
      </c>
      <c r="D17" s="5">
        <v>31000</v>
      </c>
      <c r="E17" s="5" t="str">
        <f>IF(Table1[[#This Row],[annual_income]]&lt;40000,"Low",IF(Table1[[#This Row],[annual_income]]&lt;60000,"Medium","High"))</f>
        <v>Low</v>
      </c>
      <c r="F17" s="6">
        <v>160</v>
      </c>
      <c r="G17" s="4">
        <v>3.2</v>
      </c>
      <c r="H17" s="4" t="str">
        <f>IF(Table1[[#This Row],[loyaltyscore]]&gt;=8,"High Value",IF(Table1[[#This Row],[loyaltyscore]]&gt;=5,"Medium Value","Low Value"))</f>
        <v>Low Value</v>
      </c>
      <c r="I17" s="4" t="s">
        <v>3</v>
      </c>
      <c r="J17" s="4">
        <v>11</v>
      </c>
    </row>
    <row r="18" spans="1:10" x14ac:dyDescent="0.35">
      <c r="A18" s="4">
        <v>17</v>
      </c>
      <c r="B18" s="4">
        <v>39</v>
      </c>
      <c r="C18" s="4" t="str">
        <f>IF(Table1[[#This Row],[age]]&lt;25,"18-24",IF(Table1[[#This Row],[age]]&lt;35,"25-34",IF(Table1[[#This Row],[age]]&lt;45,"35-44","45+")))</f>
        <v>35-44</v>
      </c>
      <c r="D18" s="5">
        <v>57000</v>
      </c>
      <c r="E18" s="5" t="str">
        <f>IF(Table1[[#This Row],[annual_income]]&lt;40000,"Low",IF(Table1[[#This Row],[annual_income]]&lt;60000,"Medium","High"))</f>
        <v>Medium</v>
      </c>
      <c r="F18" s="6">
        <v>440</v>
      </c>
      <c r="G18" s="4">
        <v>7</v>
      </c>
      <c r="H18" s="4" t="str">
        <f>IF(Table1[[#This Row],[loyaltyscore]]&gt;=8,"High Value",IF(Table1[[#This Row],[loyaltyscore]]&gt;=5,"Medium Value","Low Value"))</f>
        <v>Medium Value</v>
      </c>
      <c r="I18" s="4" t="s">
        <v>4</v>
      </c>
      <c r="J18" s="4">
        <v>21</v>
      </c>
    </row>
    <row r="19" spans="1:10" x14ac:dyDescent="0.35">
      <c r="A19" s="4">
        <v>18</v>
      </c>
      <c r="B19" s="4">
        <v>30</v>
      </c>
      <c r="C19" s="4" t="str">
        <f>IF(Table1[[#This Row],[age]]&lt;25,"18-24",IF(Table1[[#This Row],[age]]&lt;35,"25-34",IF(Table1[[#This Row],[age]]&lt;45,"35-44","45+")))</f>
        <v>25-34</v>
      </c>
      <c r="D19" s="5">
        <v>49000</v>
      </c>
      <c r="E19" s="5" t="str">
        <f>IF(Table1[[#This Row],[annual_income]]&lt;40000,"Low",IF(Table1[[#This Row],[annual_income]]&lt;60000,"Medium","High"))</f>
        <v>Medium</v>
      </c>
      <c r="F19" s="6">
        <v>300</v>
      </c>
      <c r="G19" s="4">
        <v>5</v>
      </c>
      <c r="H19" s="4" t="str">
        <f>IF(Table1[[#This Row],[loyaltyscore]]&gt;=8,"High Value",IF(Table1[[#This Row],[loyaltyscore]]&gt;=5,"Medium Value","Low Value"))</f>
        <v>Medium Value</v>
      </c>
      <c r="I19" s="4" t="s">
        <v>5</v>
      </c>
      <c r="J19" s="4">
        <v>16</v>
      </c>
    </row>
    <row r="20" spans="1:10" x14ac:dyDescent="0.35">
      <c r="A20" s="4">
        <v>19</v>
      </c>
      <c r="B20" s="4">
        <v>46</v>
      </c>
      <c r="C20" s="4" t="str">
        <f>IF(Table1[[#This Row],[age]]&lt;25,"18-24",IF(Table1[[#This Row],[age]]&lt;35,"25-34",IF(Table1[[#This Row],[age]]&lt;45,"35-44","45+")))</f>
        <v>45+</v>
      </c>
      <c r="D20" s="5">
        <v>66000</v>
      </c>
      <c r="E20" s="5" t="str">
        <f>IF(Table1[[#This Row],[annual_income]]&lt;40000,"Low",IF(Table1[[#This Row],[annual_income]]&lt;60000,"Medium","High"))</f>
        <v>High</v>
      </c>
      <c r="F20" s="6">
        <v>510</v>
      </c>
      <c r="G20" s="4">
        <v>8.1</v>
      </c>
      <c r="H20" s="4" t="str">
        <f>IF(Table1[[#This Row],[loyaltyscore]]&gt;=8,"High Value",IF(Table1[[#This Row],[loyaltyscore]]&gt;=5,"Medium Value","Low Value"))</f>
        <v>High Value</v>
      </c>
      <c r="I20" s="4" t="s">
        <v>3</v>
      </c>
      <c r="J20" s="4">
        <v>22</v>
      </c>
    </row>
    <row r="21" spans="1:10" x14ac:dyDescent="0.35">
      <c r="A21" s="4">
        <v>20</v>
      </c>
      <c r="B21" s="4">
        <v>26</v>
      </c>
      <c r="C21" s="4" t="str">
        <f>IF(Table1[[#This Row],[age]]&lt;25,"18-24",IF(Table1[[#This Row],[age]]&lt;35,"25-34",IF(Table1[[#This Row],[age]]&lt;45,"35-44","45+")))</f>
        <v>25-34</v>
      </c>
      <c r="D21" s="5">
        <v>44000</v>
      </c>
      <c r="E21" s="5" t="str">
        <f>IF(Table1[[#This Row],[annual_income]]&lt;40000,"Low",IF(Table1[[#This Row],[annual_income]]&lt;60000,"Medium","High"))</f>
        <v>Medium</v>
      </c>
      <c r="F21" s="6">
        <v>240</v>
      </c>
      <c r="G21" s="4">
        <v>4.3</v>
      </c>
      <c r="H21" s="4" t="str">
        <f>IF(Table1[[#This Row],[loyaltyscore]]&gt;=8,"High Value",IF(Table1[[#This Row],[loyaltyscore]]&gt;=5,"Medium Value","Low Value"))</f>
        <v>Low Value</v>
      </c>
      <c r="I21" s="4" t="s">
        <v>6</v>
      </c>
      <c r="J21" s="4">
        <v>14</v>
      </c>
    </row>
    <row r="22" spans="1:10" x14ac:dyDescent="0.35">
      <c r="A22" s="4">
        <v>21</v>
      </c>
      <c r="B22" s="4">
        <v>52</v>
      </c>
      <c r="C22" s="4" t="str">
        <f>IF(Table1[[#This Row],[age]]&lt;25,"18-24",IF(Table1[[#This Row],[age]]&lt;35,"25-34",IF(Table1[[#This Row],[age]]&lt;45,"35-44","45+")))</f>
        <v>45+</v>
      </c>
      <c r="D22" s="5">
        <v>72000</v>
      </c>
      <c r="E22" s="5" t="str">
        <f>IF(Table1[[#This Row],[annual_income]]&lt;40000,"Low",IF(Table1[[#This Row],[annual_income]]&lt;60000,"Medium","High"))</f>
        <v>High</v>
      </c>
      <c r="F22" s="6">
        <v>610</v>
      </c>
      <c r="G22" s="4">
        <v>9.1999999999999993</v>
      </c>
      <c r="H22" s="4" t="str">
        <f>IF(Table1[[#This Row],[loyaltyscore]]&gt;=8,"High Value",IF(Table1[[#This Row],[loyaltyscore]]&gt;=5,"Medium Value","Low Value"))</f>
        <v>High Value</v>
      </c>
      <c r="I22" s="4" t="s">
        <v>4</v>
      </c>
      <c r="J22" s="4">
        <v>26</v>
      </c>
    </row>
    <row r="23" spans="1:10" x14ac:dyDescent="0.35">
      <c r="A23" s="4">
        <v>22</v>
      </c>
      <c r="B23" s="4">
        <v>24</v>
      </c>
      <c r="C23" s="4" t="str">
        <f>IF(Table1[[#This Row],[age]]&lt;25,"18-24",IF(Table1[[#This Row],[age]]&lt;35,"25-34",IF(Table1[[#This Row],[age]]&lt;45,"35-44","45+")))</f>
        <v>18-24</v>
      </c>
      <c r="D23" s="5">
        <v>32000</v>
      </c>
      <c r="E23" s="5" t="str">
        <f>IF(Table1[[#This Row],[annual_income]]&lt;40000,"Low",IF(Table1[[#This Row],[annual_income]]&lt;60000,"Medium","High"))</f>
        <v>Low</v>
      </c>
      <c r="F23" s="6">
        <v>170</v>
      </c>
      <c r="G23" s="4">
        <v>3.3</v>
      </c>
      <c r="H23" s="4" t="str">
        <f>IF(Table1[[#This Row],[loyaltyscore]]&gt;=8,"High Value",IF(Table1[[#This Row],[loyaltyscore]]&gt;=5,"Medium Value","Low Value"))</f>
        <v>Low Value</v>
      </c>
      <c r="I23" s="4" t="s">
        <v>5</v>
      </c>
      <c r="J23" s="4">
        <v>12</v>
      </c>
    </row>
    <row r="24" spans="1:10" x14ac:dyDescent="0.35">
      <c r="A24" s="4">
        <v>23</v>
      </c>
      <c r="B24" s="4">
        <v>44</v>
      </c>
      <c r="C24" s="4" t="str">
        <f>IF(Table1[[#This Row],[age]]&lt;25,"18-24",IF(Table1[[#This Row],[age]]&lt;35,"25-34",IF(Table1[[#This Row],[age]]&lt;45,"35-44","45+")))</f>
        <v>35-44</v>
      </c>
      <c r="D24" s="5">
        <v>63000</v>
      </c>
      <c r="E24" s="5" t="str">
        <f>IF(Table1[[#This Row],[annual_income]]&lt;40000,"Low",IF(Table1[[#This Row],[annual_income]]&lt;60000,"Medium","High"))</f>
        <v>High</v>
      </c>
      <c r="F24" s="6">
        <v>460</v>
      </c>
      <c r="G24" s="4">
        <v>7.5</v>
      </c>
      <c r="H24" s="4" t="str">
        <f>IF(Table1[[#This Row],[loyaltyscore]]&gt;=8,"High Value",IF(Table1[[#This Row],[loyaltyscore]]&gt;=5,"Medium Value","Low Value"))</f>
        <v>Medium Value</v>
      </c>
      <c r="I24" s="4" t="s">
        <v>3</v>
      </c>
      <c r="J24" s="4">
        <v>21</v>
      </c>
    </row>
    <row r="25" spans="1:10" x14ac:dyDescent="0.35">
      <c r="A25" s="4">
        <v>24</v>
      </c>
      <c r="B25" s="4">
        <v>35</v>
      </c>
      <c r="C25" s="4" t="str">
        <f>IF(Table1[[#This Row],[age]]&lt;25,"18-24",IF(Table1[[#This Row],[age]]&lt;35,"25-34",IF(Table1[[#This Row],[age]]&lt;45,"35-44","45+")))</f>
        <v>35-44</v>
      </c>
      <c r="D25" s="5">
        <v>56000</v>
      </c>
      <c r="E25" s="5" t="str">
        <f>IF(Table1[[#This Row],[annual_income]]&lt;40000,"Low",IF(Table1[[#This Row],[annual_income]]&lt;60000,"Medium","High"))</f>
        <v>Medium</v>
      </c>
      <c r="F25" s="6">
        <v>390</v>
      </c>
      <c r="G25" s="4">
        <v>6.2</v>
      </c>
      <c r="H25" s="4" t="str">
        <f>IF(Table1[[#This Row],[loyaltyscore]]&gt;=8,"High Value",IF(Table1[[#This Row],[loyaltyscore]]&gt;=5,"Medium Value","Low Value"))</f>
        <v>Medium Value</v>
      </c>
      <c r="I25" s="4" t="s">
        <v>4</v>
      </c>
      <c r="J25" s="4">
        <v>19</v>
      </c>
    </row>
    <row r="26" spans="1:10" x14ac:dyDescent="0.35">
      <c r="A26" s="4">
        <v>25</v>
      </c>
      <c r="B26" s="4">
        <v>38</v>
      </c>
      <c r="C26" s="4" t="str">
        <f>IF(Table1[[#This Row],[age]]&lt;25,"18-24",IF(Table1[[#This Row],[age]]&lt;35,"25-34",IF(Table1[[#This Row],[age]]&lt;45,"35-44","45+")))</f>
        <v>35-44</v>
      </c>
      <c r="D26" s="5">
        <v>59000</v>
      </c>
      <c r="E26" s="5" t="str">
        <f>IF(Table1[[#This Row],[annual_income]]&lt;40000,"Low",IF(Table1[[#This Row],[annual_income]]&lt;60000,"Medium","High"))</f>
        <v>Medium</v>
      </c>
      <c r="F26" s="6">
        <v>430</v>
      </c>
      <c r="G26" s="4">
        <v>6.9</v>
      </c>
      <c r="H26" s="4" t="str">
        <f>IF(Table1[[#This Row],[loyaltyscore]]&gt;=8,"High Value",IF(Table1[[#This Row],[loyaltyscore]]&gt;=5,"Medium Value","Low Value"))</f>
        <v>Medium Value</v>
      </c>
      <c r="I26" s="4" t="s">
        <v>6</v>
      </c>
      <c r="J26" s="4">
        <v>20</v>
      </c>
    </row>
    <row r="27" spans="1:10" x14ac:dyDescent="0.35">
      <c r="A27" s="4">
        <v>26</v>
      </c>
      <c r="B27" s="4">
        <v>47</v>
      </c>
      <c r="C27" s="4" t="str">
        <f>IF(Table1[[#This Row],[age]]&lt;25,"18-24",IF(Table1[[#This Row],[age]]&lt;35,"25-34",IF(Table1[[#This Row],[age]]&lt;45,"35-44","45+")))</f>
        <v>45+</v>
      </c>
      <c r="D27" s="5">
        <v>67000</v>
      </c>
      <c r="E27" s="5" t="str">
        <f>IF(Table1[[#This Row],[annual_income]]&lt;40000,"Low",IF(Table1[[#This Row],[annual_income]]&lt;60000,"Medium","High"))</f>
        <v>High</v>
      </c>
      <c r="F27" s="6">
        <v>530</v>
      </c>
      <c r="G27" s="4">
        <v>8.3000000000000007</v>
      </c>
      <c r="H27" s="4" t="str">
        <f>IF(Table1[[#This Row],[loyaltyscore]]&gt;=8,"High Value",IF(Table1[[#This Row],[loyaltyscore]]&gt;=5,"Medium Value","Low Value"))</f>
        <v>High Value</v>
      </c>
      <c r="I27" s="4" t="s">
        <v>5</v>
      </c>
      <c r="J27" s="4">
        <v>23</v>
      </c>
    </row>
    <row r="28" spans="1:10" x14ac:dyDescent="0.35">
      <c r="A28" s="4">
        <v>27</v>
      </c>
      <c r="B28" s="4">
        <v>32</v>
      </c>
      <c r="C28" s="4" t="str">
        <f>IF(Table1[[#This Row],[age]]&lt;25,"18-24",IF(Table1[[#This Row],[age]]&lt;35,"25-34",IF(Table1[[#This Row],[age]]&lt;45,"35-44","45+")))</f>
        <v>25-34</v>
      </c>
      <c r="D28" s="5">
        <v>52000</v>
      </c>
      <c r="E28" s="5" t="str">
        <f>IF(Table1[[#This Row],[annual_income]]&lt;40000,"Low",IF(Table1[[#This Row],[annual_income]]&lt;60000,"Medium","High"))</f>
        <v>Medium</v>
      </c>
      <c r="F28" s="6">
        <v>360</v>
      </c>
      <c r="G28" s="4">
        <v>5.8</v>
      </c>
      <c r="H28" s="4" t="str">
        <f>IF(Table1[[#This Row],[loyaltyscore]]&gt;=8,"High Value",IF(Table1[[#This Row],[loyaltyscore]]&gt;=5,"Medium Value","Low Value"))</f>
        <v>Medium Value</v>
      </c>
      <c r="I28" s="4" t="s">
        <v>3</v>
      </c>
      <c r="J28" s="4">
        <v>18</v>
      </c>
    </row>
    <row r="29" spans="1:10" x14ac:dyDescent="0.35">
      <c r="A29" s="4">
        <v>28</v>
      </c>
      <c r="B29" s="4">
        <v>29</v>
      </c>
      <c r="C29" s="4" t="str">
        <f>IF(Table1[[#This Row],[age]]&lt;25,"18-24",IF(Table1[[#This Row],[age]]&lt;35,"25-34",IF(Table1[[#This Row],[age]]&lt;45,"35-44","45+")))</f>
        <v>25-34</v>
      </c>
      <c r="D29" s="5">
        <v>48000</v>
      </c>
      <c r="E29" s="5" t="str">
        <f>IF(Table1[[#This Row],[annual_income]]&lt;40000,"Low",IF(Table1[[#This Row],[annual_income]]&lt;60000,"Medium","High"))</f>
        <v>Medium</v>
      </c>
      <c r="F29" s="6">
        <v>280</v>
      </c>
      <c r="G29" s="4">
        <v>4.5999999999999996</v>
      </c>
      <c r="H29" s="4" t="str">
        <f>IF(Table1[[#This Row],[loyaltyscore]]&gt;=8,"High Value",IF(Table1[[#This Row],[loyaltyscore]]&gt;=5,"Medium Value","Low Value"))</f>
        <v>Low Value</v>
      </c>
      <c r="I29" s="4" t="s">
        <v>4</v>
      </c>
      <c r="J29" s="4">
        <v>15</v>
      </c>
    </row>
    <row r="30" spans="1:10" x14ac:dyDescent="0.35">
      <c r="A30" s="4">
        <v>29</v>
      </c>
      <c r="B30" s="4">
        <v>51</v>
      </c>
      <c r="C30" s="4" t="str">
        <f>IF(Table1[[#This Row],[age]]&lt;25,"18-24",IF(Table1[[#This Row],[age]]&lt;35,"25-34",IF(Table1[[#This Row],[age]]&lt;45,"35-44","45+")))</f>
        <v>45+</v>
      </c>
      <c r="D30" s="5">
        <v>71000</v>
      </c>
      <c r="E30" s="5" t="str">
        <f>IF(Table1[[#This Row],[annual_income]]&lt;40000,"Low",IF(Table1[[#This Row],[annual_income]]&lt;60000,"Medium","High"))</f>
        <v>High</v>
      </c>
      <c r="F30" s="6">
        <v>600</v>
      </c>
      <c r="G30" s="4">
        <v>9</v>
      </c>
      <c r="H30" s="4" t="str">
        <f>IF(Table1[[#This Row],[loyaltyscore]]&gt;=8,"High Value",IF(Table1[[#This Row],[loyaltyscore]]&gt;=5,"Medium Value","Low Value"))</f>
        <v>High Value</v>
      </c>
      <c r="I30" s="4" t="s">
        <v>5</v>
      </c>
      <c r="J30" s="4">
        <v>25</v>
      </c>
    </row>
    <row r="31" spans="1:10" x14ac:dyDescent="0.35">
      <c r="A31" s="4">
        <v>30</v>
      </c>
      <c r="B31" s="4">
        <v>40</v>
      </c>
      <c r="C31" s="4" t="str">
        <f>IF(Table1[[#This Row],[age]]&lt;25,"18-24",IF(Table1[[#This Row],[age]]&lt;35,"25-34",IF(Table1[[#This Row],[age]]&lt;45,"35-44","45+")))</f>
        <v>35-44</v>
      </c>
      <c r="D31" s="5">
        <v>60000</v>
      </c>
      <c r="E31" s="5" t="str">
        <f>IF(Table1[[#This Row],[annual_income]]&lt;40000,"Low",IF(Table1[[#This Row],[annual_income]]&lt;60000,"Medium","High"))</f>
        <v>High</v>
      </c>
      <c r="F31" s="6">
        <v>450</v>
      </c>
      <c r="G31" s="4">
        <v>7.2</v>
      </c>
      <c r="H31" s="4" t="str">
        <f>IF(Table1[[#This Row],[loyaltyscore]]&gt;=8,"High Value",IF(Table1[[#This Row],[loyaltyscore]]&gt;=5,"Medium Value","Low Value"))</f>
        <v>Medium Value</v>
      </c>
      <c r="I31" s="4" t="s">
        <v>6</v>
      </c>
      <c r="J31" s="4">
        <v>22</v>
      </c>
    </row>
    <row r="32" spans="1:10" x14ac:dyDescent="0.35">
      <c r="A32" s="4">
        <v>31</v>
      </c>
      <c r="B32" s="4">
        <v>34</v>
      </c>
      <c r="C32" s="4" t="str">
        <f>IF(Table1[[#This Row],[age]]&lt;25,"18-24",IF(Table1[[#This Row],[age]]&lt;35,"25-34",IF(Table1[[#This Row],[age]]&lt;45,"35-44","45+")))</f>
        <v>25-34</v>
      </c>
      <c r="D32" s="5">
        <v>55000</v>
      </c>
      <c r="E32" s="5" t="str">
        <f>IF(Table1[[#This Row],[annual_income]]&lt;40000,"Low",IF(Table1[[#This Row],[annual_income]]&lt;60000,"Medium","High"))</f>
        <v>Medium</v>
      </c>
      <c r="F32" s="6">
        <v>350</v>
      </c>
      <c r="G32" s="4">
        <v>6.5</v>
      </c>
      <c r="H32" s="4" t="str">
        <f>IF(Table1[[#This Row],[loyaltyscore]]&gt;=8,"High Value",IF(Table1[[#This Row],[loyaltyscore]]&gt;=5,"Medium Value","Low Value"))</f>
        <v>Medium Value</v>
      </c>
      <c r="I32" s="4" t="s">
        <v>3</v>
      </c>
      <c r="J32" s="4">
        <v>19</v>
      </c>
    </row>
    <row r="33" spans="1:10" x14ac:dyDescent="0.35">
      <c r="A33" s="4">
        <v>32</v>
      </c>
      <c r="B33" s="4">
        <v>43</v>
      </c>
      <c r="C33" s="4" t="str">
        <f>IF(Table1[[#This Row],[age]]&lt;25,"18-24",IF(Table1[[#This Row],[age]]&lt;35,"25-34",IF(Table1[[#This Row],[age]]&lt;45,"35-44","45+")))</f>
        <v>35-44</v>
      </c>
      <c r="D33" s="5">
        <v>64000</v>
      </c>
      <c r="E33" s="5" t="str">
        <f>IF(Table1[[#This Row],[annual_income]]&lt;40000,"Low",IF(Table1[[#This Row],[annual_income]]&lt;60000,"Medium","High"))</f>
        <v>High</v>
      </c>
      <c r="F33" s="6">
        <v>470</v>
      </c>
      <c r="G33" s="4">
        <v>7.8</v>
      </c>
      <c r="H33" s="4" t="str">
        <f>IF(Table1[[#This Row],[loyaltyscore]]&gt;=8,"High Value",IF(Table1[[#This Row],[loyaltyscore]]&gt;=5,"Medium Value","Low Value"))</f>
        <v>Medium Value</v>
      </c>
      <c r="I33" s="4" t="s">
        <v>4</v>
      </c>
      <c r="J33" s="4">
        <v>21</v>
      </c>
    </row>
    <row r="34" spans="1:10" x14ac:dyDescent="0.35">
      <c r="A34" s="4">
        <v>33</v>
      </c>
      <c r="B34" s="4">
        <v>31</v>
      </c>
      <c r="C34" s="4" t="str">
        <f>IF(Table1[[#This Row],[age]]&lt;25,"18-24",IF(Table1[[#This Row],[age]]&lt;35,"25-34",IF(Table1[[#This Row],[age]]&lt;45,"35-44","45+")))</f>
        <v>25-34</v>
      </c>
      <c r="D34" s="5">
        <v>50000</v>
      </c>
      <c r="E34" s="5" t="str">
        <f>IF(Table1[[#This Row],[annual_income]]&lt;40000,"Low",IF(Table1[[#This Row],[annual_income]]&lt;60000,"Medium","High"))</f>
        <v>Medium</v>
      </c>
      <c r="F34" s="6">
        <v>320</v>
      </c>
      <c r="G34" s="4">
        <v>5.5</v>
      </c>
      <c r="H34" s="4" t="str">
        <f>IF(Table1[[#This Row],[loyaltyscore]]&gt;=8,"High Value",IF(Table1[[#This Row],[loyaltyscore]]&gt;=5,"Medium Value","Low Value"))</f>
        <v>Medium Value</v>
      </c>
      <c r="I34" s="4" t="s">
        <v>5</v>
      </c>
      <c r="J34" s="4">
        <v>16</v>
      </c>
    </row>
    <row r="35" spans="1:10" x14ac:dyDescent="0.35">
      <c r="A35" s="4">
        <v>34</v>
      </c>
      <c r="B35" s="4">
        <v>27</v>
      </c>
      <c r="C35" s="4" t="str">
        <f>IF(Table1[[#This Row],[age]]&lt;25,"18-24",IF(Table1[[#This Row],[age]]&lt;35,"25-34",IF(Table1[[#This Row],[age]]&lt;45,"35-44","45+")))</f>
        <v>25-34</v>
      </c>
      <c r="D35" s="5">
        <v>43000</v>
      </c>
      <c r="E35" s="5" t="str">
        <f>IF(Table1[[#This Row],[annual_income]]&lt;40000,"Low",IF(Table1[[#This Row],[annual_income]]&lt;60000,"Medium","High"))</f>
        <v>Medium</v>
      </c>
      <c r="F35" s="6">
        <v>230</v>
      </c>
      <c r="G35" s="4">
        <v>4</v>
      </c>
      <c r="H35" s="4" t="str">
        <f>IF(Table1[[#This Row],[loyaltyscore]]&gt;=8,"High Value",IF(Table1[[#This Row],[loyaltyscore]]&gt;=5,"Medium Value","Low Value"))</f>
        <v>Low Value</v>
      </c>
      <c r="I35" s="4" t="s">
        <v>3</v>
      </c>
      <c r="J35" s="4">
        <v>14</v>
      </c>
    </row>
    <row r="36" spans="1:10" x14ac:dyDescent="0.35">
      <c r="A36" s="4">
        <v>35</v>
      </c>
      <c r="B36" s="4">
        <v>55</v>
      </c>
      <c r="C36" s="4" t="str">
        <f>IF(Table1[[#This Row],[age]]&lt;25,"18-24",IF(Table1[[#This Row],[age]]&lt;35,"25-34",IF(Table1[[#This Row],[age]]&lt;45,"35-44","45+")))</f>
        <v>45+</v>
      </c>
      <c r="D36" s="5">
        <v>75000</v>
      </c>
      <c r="E36" s="5" t="str">
        <f>IF(Table1[[#This Row],[annual_income]]&lt;40000,"Low",IF(Table1[[#This Row],[annual_income]]&lt;60000,"Medium","High"))</f>
        <v>High</v>
      </c>
      <c r="F36" s="6">
        <v>640</v>
      </c>
      <c r="G36" s="4">
        <v>9.5</v>
      </c>
      <c r="H36" s="4" t="str">
        <f>IF(Table1[[#This Row],[loyaltyscore]]&gt;=8,"High Value",IF(Table1[[#This Row],[loyaltyscore]]&gt;=5,"Medium Value","Low Value"))</f>
        <v>High Value</v>
      </c>
      <c r="I36" s="4" t="s">
        <v>4</v>
      </c>
      <c r="J36" s="4">
        <v>28</v>
      </c>
    </row>
    <row r="37" spans="1:10" x14ac:dyDescent="0.35">
      <c r="A37" s="4">
        <v>36</v>
      </c>
      <c r="B37" s="4">
        <v>25</v>
      </c>
      <c r="C37" s="4" t="str">
        <f>IF(Table1[[#This Row],[age]]&lt;25,"18-24",IF(Table1[[#This Row],[age]]&lt;35,"25-34",IF(Table1[[#This Row],[age]]&lt;45,"35-44","45+")))</f>
        <v>25-34</v>
      </c>
      <c r="D37" s="5">
        <v>45000</v>
      </c>
      <c r="E37" s="5" t="str">
        <f>IF(Table1[[#This Row],[annual_income]]&lt;40000,"Low",IF(Table1[[#This Row],[annual_income]]&lt;60000,"Medium","High"))</f>
        <v>Medium</v>
      </c>
      <c r="F37" s="6">
        <v>200</v>
      </c>
      <c r="G37" s="4">
        <v>4.5</v>
      </c>
      <c r="H37" s="4" t="str">
        <f>IF(Table1[[#This Row],[loyaltyscore]]&gt;=8,"High Value",IF(Table1[[#This Row],[loyaltyscore]]&gt;=5,"Medium Value","Low Value"))</f>
        <v>Low Value</v>
      </c>
      <c r="I37" s="4" t="s">
        <v>5</v>
      </c>
      <c r="J37" s="4">
        <v>12</v>
      </c>
    </row>
    <row r="38" spans="1:10" x14ac:dyDescent="0.35">
      <c r="A38" s="4">
        <v>37</v>
      </c>
      <c r="B38" s="4">
        <v>48</v>
      </c>
      <c r="C38" s="4" t="str">
        <f>IF(Table1[[#This Row],[age]]&lt;25,"18-24",IF(Table1[[#This Row],[age]]&lt;35,"25-34",IF(Table1[[#This Row],[age]]&lt;45,"35-44","45+")))</f>
        <v>45+</v>
      </c>
      <c r="D38" s="5">
        <v>68000</v>
      </c>
      <c r="E38" s="5" t="str">
        <f>IF(Table1[[#This Row],[annual_income]]&lt;40000,"Low",IF(Table1[[#This Row],[annual_income]]&lt;60000,"Medium","High"))</f>
        <v>High</v>
      </c>
      <c r="F38" s="6">
        <v>550</v>
      </c>
      <c r="G38" s="4">
        <v>8.5</v>
      </c>
      <c r="H38" s="4" t="str">
        <f>IF(Table1[[#This Row],[loyaltyscore]]&gt;=8,"High Value",IF(Table1[[#This Row],[loyaltyscore]]&gt;=5,"Medium Value","Low Value"))</f>
        <v>High Value</v>
      </c>
      <c r="I38" s="4" t="s">
        <v>3</v>
      </c>
      <c r="J38" s="4">
        <v>24</v>
      </c>
    </row>
    <row r="39" spans="1:10" x14ac:dyDescent="0.35">
      <c r="A39" s="4">
        <v>38</v>
      </c>
      <c r="B39" s="4">
        <v>30</v>
      </c>
      <c r="C39" s="4" t="str">
        <f>IF(Table1[[#This Row],[age]]&lt;25,"18-24",IF(Table1[[#This Row],[age]]&lt;35,"25-34",IF(Table1[[#This Row],[age]]&lt;45,"35-44","45+")))</f>
        <v>25-34</v>
      </c>
      <c r="D39" s="5">
        <v>49000</v>
      </c>
      <c r="E39" s="5" t="str">
        <f>IF(Table1[[#This Row],[annual_income]]&lt;40000,"Low",IF(Table1[[#This Row],[annual_income]]&lt;60000,"Medium","High"))</f>
        <v>Medium</v>
      </c>
      <c r="F39" s="6">
        <v>300</v>
      </c>
      <c r="G39" s="4">
        <v>5</v>
      </c>
      <c r="H39" s="4" t="str">
        <f>IF(Table1[[#This Row],[loyaltyscore]]&gt;=8,"High Value",IF(Table1[[#This Row],[loyaltyscore]]&gt;=5,"Medium Value","Low Value"))</f>
        <v>Medium Value</v>
      </c>
      <c r="I39" s="4" t="s">
        <v>4</v>
      </c>
      <c r="J39" s="4">
        <v>17</v>
      </c>
    </row>
    <row r="40" spans="1:10" x14ac:dyDescent="0.35">
      <c r="A40" s="4">
        <v>39</v>
      </c>
      <c r="B40" s="4">
        <v>53</v>
      </c>
      <c r="C40" s="4" t="str">
        <f>IF(Table1[[#This Row],[age]]&lt;25,"18-24",IF(Table1[[#This Row],[age]]&lt;35,"25-34",IF(Table1[[#This Row],[age]]&lt;45,"35-44","45+")))</f>
        <v>45+</v>
      </c>
      <c r="D40" s="5">
        <v>73000</v>
      </c>
      <c r="E40" s="5" t="str">
        <f>IF(Table1[[#This Row],[annual_income]]&lt;40000,"Low",IF(Table1[[#This Row],[annual_income]]&lt;60000,"Medium","High"))</f>
        <v>High</v>
      </c>
      <c r="F40" s="6">
        <v>620</v>
      </c>
      <c r="G40" s="4">
        <v>9.3000000000000007</v>
      </c>
      <c r="H40" s="4" t="str">
        <f>IF(Table1[[#This Row],[loyaltyscore]]&gt;=8,"High Value",IF(Table1[[#This Row],[loyaltyscore]]&gt;=5,"Medium Value","Low Value"))</f>
        <v>High Value</v>
      </c>
      <c r="I40" s="4" t="s">
        <v>5</v>
      </c>
      <c r="J40" s="4">
        <v>27</v>
      </c>
    </row>
    <row r="41" spans="1:10" x14ac:dyDescent="0.35">
      <c r="A41" s="4">
        <v>40</v>
      </c>
      <c r="B41" s="4">
        <v>28</v>
      </c>
      <c r="C41" s="4" t="str">
        <f>IF(Table1[[#This Row],[age]]&lt;25,"18-24",IF(Table1[[#This Row],[age]]&lt;35,"25-34",IF(Table1[[#This Row],[age]]&lt;45,"35-44","45+")))</f>
        <v>25-34</v>
      </c>
      <c r="D41" s="5">
        <v>46000</v>
      </c>
      <c r="E41" s="5" t="str">
        <f>IF(Table1[[#This Row],[annual_income]]&lt;40000,"Low",IF(Table1[[#This Row],[annual_income]]&lt;60000,"Medium","High"))</f>
        <v>Medium</v>
      </c>
      <c r="F41" s="6">
        <v>250</v>
      </c>
      <c r="G41" s="4">
        <v>4.2</v>
      </c>
      <c r="H41" s="4" t="str">
        <f>IF(Table1[[#This Row],[loyaltyscore]]&gt;=8,"High Value",IF(Table1[[#This Row],[loyaltyscore]]&gt;=5,"Medium Value","Low Value"))</f>
        <v>Low Value</v>
      </c>
      <c r="I41" s="4" t="s">
        <v>3</v>
      </c>
      <c r="J41" s="4">
        <v>14</v>
      </c>
    </row>
    <row r="42" spans="1:10" x14ac:dyDescent="0.35">
      <c r="A42" s="4">
        <v>41</v>
      </c>
      <c r="B42" s="4">
        <v>39</v>
      </c>
      <c r="C42" s="4" t="str">
        <f>IF(Table1[[#This Row],[age]]&lt;25,"18-24",IF(Table1[[#This Row],[age]]&lt;35,"25-34",IF(Table1[[#This Row],[age]]&lt;45,"35-44","45+")))</f>
        <v>35-44</v>
      </c>
      <c r="D42" s="5">
        <v>57000</v>
      </c>
      <c r="E42" s="5" t="str">
        <f>IF(Table1[[#This Row],[annual_income]]&lt;40000,"Low",IF(Table1[[#This Row],[annual_income]]&lt;60000,"Medium","High"))</f>
        <v>Medium</v>
      </c>
      <c r="F42" s="6">
        <v>440</v>
      </c>
      <c r="G42" s="4">
        <v>7</v>
      </c>
      <c r="H42" s="4" t="str">
        <f>IF(Table1[[#This Row],[loyaltyscore]]&gt;=8,"High Value",IF(Table1[[#This Row],[loyaltyscore]]&gt;=5,"Medium Value","Low Value"))</f>
        <v>Medium Value</v>
      </c>
      <c r="I42" s="4" t="s">
        <v>4</v>
      </c>
      <c r="J42" s="4">
        <v>21</v>
      </c>
    </row>
    <row r="43" spans="1:10" x14ac:dyDescent="0.35">
      <c r="A43" s="4">
        <v>42</v>
      </c>
      <c r="B43" s="4">
        <v>37</v>
      </c>
      <c r="C43" s="4" t="str">
        <f>IF(Table1[[#This Row],[age]]&lt;25,"18-24",IF(Table1[[#This Row],[age]]&lt;35,"25-34",IF(Table1[[#This Row],[age]]&lt;45,"35-44","45+")))</f>
        <v>35-44</v>
      </c>
      <c r="D43" s="5">
        <v>58000</v>
      </c>
      <c r="E43" s="5" t="str">
        <f>IF(Table1[[#This Row],[annual_income]]&lt;40000,"Low",IF(Table1[[#This Row],[annual_income]]&lt;60000,"Medium","High"))</f>
        <v>Medium</v>
      </c>
      <c r="F43" s="6">
        <v>420</v>
      </c>
      <c r="G43" s="4">
        <v>6.8</v>
      </c>
      <c r="H43" s="4" t="str">
        <f>IF(Table1[[#This Row],[loyaltyscore]]&gt;=8,"High Value",IF(Table1[[#This Row],[loyaltyscore]]&gt;=5,"Medium Value","Low Value"))</f>
        <v>Medium Value</v>
      </c>
      <c r="I43" s="4" t="s">
        <v>5</v>
      </c>
      <c r="J43" s="4">
        <v>20</v>
      </c>
    </row>
    <row r="44" spans="1:10" x14ac:dyDescent="0.35">
      <c r="A44" s="4">
        <v>43</v>
      </c>
      <c r="B44" s="4">
        <v>46</v>
      </c>
      <c r="C44" s="4" t="str">
        <f>IF(Table1[[#This Row],[age]]&lt;25,"18-24",IF(Table1[[#This Row],[age]]&lt;35,"25-34",IF(Table1[[#This Row],[age]]&lt;45,"35-44","45+")))</f>
        <v>45+</v>
      </c>
      <c r="D44" s="5">
        <v>66000</v>
      </c>
      <c r="E44" s="5" t="str">
        <f>IF(Table1[[#This Row],[annual_income]]&lt;40000,"Low",IF(Table1[[#This Row],[annual_income]]&lt;60000,"Medium","High"))</f>
        <v>High</v>
      </c>
      <c r="F44" s="6">
        <v>510</v>
      </c>
      <c r="G44" s="4">
        <v>8.1</v>
      </c>
      <c r="H44" s="4" t="str">
        <f>IF(Table1[[#This Row],[loyaltyscore]]&gt;=8,"High Value",IF(Table1[[#This Row],[loyaltyscore]]&gt;=5,"Medium Value","Low Value"))</f>
        <v>High Value</v>
      </c>
      <c r="I44" s="4" t="s">
        <v>3</v>
      </c>
      <c r="J44" s="4">
        <v>22</v>
      </c>
    </row>
    <row r="45" spans="1:10" x14ac:dyDescent="0.35">
      <c r="A45" s="4">
        <v>44</v>
      </c>
      <c r="B45" s="4">
        <v>33</v>
      </c>
      <c r="C45" s="4" t="str">
        <f>IF(Table1[[#This Row],[age]]&lt;25,"18-24",IF(Table1[[#This Row],[age]]&lt;35,"25-34",IF(Table1[[#This Row],[age]]&lt;45,"35-44","45+")))</f>
        <v>25-34</v>
      </c>
      <c r="D45" s="5">
        <v>53000</v>
      </c>
      <c r="E45" s="5" t="str">
        <f>IF(Table1[[#This Row],[annual_income]]&lt;40000,"Low",IF(Table1[[#This Row],[annual_income]]&lt;60000,"Medium","High"))</f>
        <v>Medium</v>
      </c>
      <c r="F45" s="6">
        <v>380</v>
      </c>
      <c r="G45" s="4">
        <v>6</v>
      </c>
      <c r="H45" s="4" t="str">
        <f>IF(Table1[[#This Row],[loyaltyscore]]&gt;=8,"High Value",IF(Table1[[#This Row],[loyaltyscore]]&gt;=5,"Medium Value","Low Value"))</f>
        <v>Medium Value</v>
      </c>
      <c r="I45" s="4" t="s">
        <v>4</v>
      </c>
      <c r="J45" s="4">
        <v>18</v>
      </c>
    </row>
    <row r="46" spans="1:10" x14ac:dyDescent="0.35">
      <c r="A46" s="4">
        <v>45</v>
      </c>
      <c r="B46" s="4">
        <v>52</v>
      </c>
      <c r="C46" s="4" t="str">
        <f>IF(Table1[[#This Row],[age]]&lt;25,"18-24",IF(Table1[[#This Row],[age]]&lt;35,"25-34",IF(Table1[[#This Row],[age]]&lt;45,"35-44","45+")))</f>
        <v>45+</v>
      </c>
      <c r="D46" s="5">
        <v>72000</v>
      </c>
      <c r="E46" s="5" t="str">
        <f>IF(Table1[[#This Row],[annual_income]]&lt;40000,"Low",IF(Table1[[#This Row],[annual_income]]&lt;60000,"Medium","High"))</f>
        <v>High</v>
      </c>
      <c r="F46" s="6">
        <v>610</v>
      </c>
      <c r="G46" s="4">
        <v>9.1999999999999993</v>
      </c>
      <c r="H46" s="4" t="str">
        <f>IF(Table1[[#This Row],[loyaltyscore]]&gt;=8,"High Value",IF(Table1[[#This Row],[loyaltyscore]]&gt;=5,"Medium Value","Low Value"))</f>
        <v>High Value</v>
      </c>
      <c r="I46" s="4" t="s">
        <v>5</v>
      </c>
      <c r="J46" s="4">
        <v>26</v>
      </c>
    </row>
    <row r="47" spans="1:10" x14ac:dyDescent="0.35">
      <c r="A47" s="4">
        <v>46</v>
      </c>
      <c r="B47" s="4">
        <v>29</v>
      </c>
      <c r="C47" s="4" t="str">
        <f>IF(Table1[[#This Row],[age]]&lt;25,"18-24",IF(Table1[[#This Row],[age]]&lt;35,"25-34",IF(Table1[[#This Row],[age]]&lt;45,"35-44","45+")))</f>
        <v>25-34</v>
      </c>
      <c r="D47" s="5">
        <v>47000</v>
      </c>
      <c r="E47" s="5" t="str">
        <f>IF(Table1[[#This Row],[annual_income]]&lt;40000,"Low",IF(Table1[[#This Row],[annual_income]]&lt;60000,"Medium","High"))</f>
        <v>Medium</v>
      </c>
      <c r="F47" s="6">
        <v>220</v>
      </c>
      <c r="G47" s="4">
        <v>4.4000000000000004</v>
      </c>
      <c r="H47" s="4" t="str">
        <f>IF(Table1[[#This Row],[loyaltyscore]]&gt;=8,"High Value",IF(Table1[[#This Row],[loyaltyscore]]&gt;=5,"Medium Value","Low Value"))</f>
        <v>Low Value</v>
      </c>
      <c r="I47" s="4" t="s">
        <v>3</v>
      </c>
      <c r="J47" s="4">
        <v>13</v>
      </c>
    </row>
    <row r="48" spans="1:10" x14ac:dyDescent="0.35">
      <c r="A48" s="4">
        <v>47</v>
      </c>
      <c r="B48" s="4">
        <v>41</v>
      </c>
      <c r="C48" s="4" t="str">
        <f>IF(Table1[[#This Row],[age]]&lt;25,"18-24",IF(Table1[[#This Row],[age]]&lt;35,"25-34",IF(Table1[[#This Row],[age]]&lt;45,"35-44","45+")))</f>
        <v>35-44</v>
      </c>
      <c r="D48" s="5">
        <v>61000</v>
      </c>
      <c r="E48" s="5" t="str">
        <f>IF(Table1[[#This Row],[annual_income]]&lt;40000,"Low",IF(Table1[[#This Row],[annual_income]]&lt;60000,"Medium","High"))</f>
        <v>High</v>
      </c>
      <c r="F48" s="6">
        <v>480</v>
      </c>
      <c r="G48" s="4">
        <v>7.8</v>
      </c>
      <c r="H48" s="4" t="str">
        <f>IF(Table1[[#This Row],[loyaltyscore]]&gt;=8,"High Value",IF(Table1[[#This Row],[loyaltyscore]]&gt;=5,"Medium Value","Low Value"))</f>
        <v>Medium Value</v>
      </c>
      <c r="I48" s="4" t="s">
        <v>4</v>
      </c>
      <c r="J48" s="4">
        <v>21</v>
      </c>
    </row>
    <row r="49" spans="1:10" x14ac:dyDescent="0.35">
      <c r="A49" s="4">
        <v>48</v>
      </c>
      <c r="B49" s="4">
        <v>50</v>
      </c>
      <c r="C49" s="4" t="str">
        <f>IF(Table1[[#This Row],[age]]&lt;25,"18-24",IF(Table1[[#This Row],[age]]&lt;35,"25-34",IF(Table1[[#This Row],[age]]&lt;45,"35-44","45+")))</f>
        <v>45+</v>
      </c>
      <c r="D49" s="5">
        <v>70000</v>
      </c>
      <c r="E49" s="5" t="str">
        <f>IF(Table1[[#This Row],[annual_income]]&lt;40000,"Low",IF(Table1[[#This Row],[annual_income]]&lt;60000,"Medium","High"))</f>
        <v>High</v>
      </c>
      <c r="F49" s="6">
        <v>600</v>
      </c>
      <c r="G49" s="4">
        <v>9</v>
      </c>
      <c r="H49" s="4" t="str">
        <f>IF(Table1[[#This Row],[loyaltyscore]]&gt;=8,"High Value",IF(Table1[[#This Row],[loyaltyscore]]&gt;=5,"Medium Value","Low Value"))</f>
        <v>High Value</v>
      </c>
      <c r="I49" s="4" t="s">
        <v>5</v>
      </c>
      <c r="J49" s="4">
        <v>25</v>
      </c>
    </row>
    <row r="50" spans="1:10" x14ac:dyDescent="0.35">
      <c r="A50" s="4">
        <v>49</v>
      </c>
      <c r="B50" s="4">
        <v>36</v>
      </c>
      <c r="C50" s="4" t="str">
        <f>IF(Table1[[#This Row],[age]]&lt;25,"18-24",IF(Table1[[#This Row],[age]]&lt;35,"25-34",IF(Table1[[#This Row],[age]]&lt;45,"35-44","45+")))</f>
        <v>35-44</v>
      </c>
      <c r="D50" s="5">
        <v>54000</v>
      </c>
      <c r="E50" s="5" t="str">
        <f>IF(Table1[[#This Row],[annual_income]]&lt;40000,"Low",IF(Table1[[#This Row],[annual_income]]&lt;60000,"Medium","High"))</f>
        <v>Medium</v>
      </c>
      <c r="F50" s="6">
        <v>400</v>
      </c>
      <c r="G50" s="4">
        <v>6.5</v>
      </c>
      <c r="H50" s="4" t="str">
        <f>IF(Table1[[#This Row],[loyaltyscore]]&gt;=8,"High Value",IF(Table1[[#This Row],[loyaltyscore]]&gt;=5,"Medium Value","Low Value"))</f>
        <v>Medium Value</v>
      </c>
      <c r="I50" s="4" t="s">
        <v>3</v>
      </c>
      <c r="J50" s="4">
        <v>19</v>
      </c>
    </row>
    <row r="51" spans="1:10" x14ac:dyDescent="0.35">
      <c r="A51" s="4">
        <v>50</v>
      </c>
      <c r="B51" s="4">
        <v>24</v>
      </c>
      <c r="C51" s="4" t="str">
        <f>IF(Table1[[#This Row],[age]]&lt;25,"18-24",IF(Table1[[#This Row],[age]]&lt;35,"25-34",IF(Table1[[#This Row],[age]]&lt;45,"35-44","45+")))</f>
        <v>18-24</v>
      </c>
      <c r="D51" s="5">
        <v>32000</v>
      </c>
      <c r="E51" s="5" t="str">
        <f>IF(Table1[[#This Row],[annual_income]]&lt;40000,"Low",IF(Table1[[#This Row],[annual_income]]&lt;60000,"Medium","High"))</f>
        <v>Low</v>
      </c>
      <c r="F51" s="6">
        <v>170</v>
      </c>
      <c r="G51" s="4">
        <v>3.3</v>
      </c>
      <c r="H51" s="4" t="str">
        <f>IF(Table1[[#This Row],[loyaltyscore]]&gt;=8,"High Value",IF(Table1[[#This Row],[loyaltyscore]]&gt;=5,"Medium Value","Low Value"))</f>
        <v>Low Value</v>
      </c>
      <c r="I51" s="4" t="s">
        <v>4</v>
      </c>
      <c r="J51" s="4">
        <v>11</v>
      </c>
    </row>
    <row r="52" spans="1:10" x14ac:dyDescent="0.35">
      <c r="A52" s="4">
        <v>51</v>
      </c>
      <c r="B52" s="4">
        <v>49</v>
      </c>
      <c r="C52" s="4" t="str">
        <f>IF(Table1[[#This Row],[age]]&lt;25,"18-24",IF(Table1[[#This Row],[age]]&lt;35,"25-34",IF(Table1[[#This Row],[age]]&lt;45,"35-44","45+")))</f>
        <v>45+</v>
      </c>
      <c r="D52" s="5">
        <v>69000</v>
      </c>
      <c r="E52" s="5" t="str">
        <f>IF(Table1[[#This Row],[annual_income]]&lt;40000,"Low",IF(Table1[[#This Row],[annual_income]]&lt;60000,"Medium","High"))</f>
        <v>High</v>
      </c>
      <c r="F52" s="6">
        <v>590</v>
      </c>
      <c r="G52" s="4">
        <v>8.9</v>
      </c>
      <c r="H52" s="4" t="str">
        <f>IF(Table1[[#This Row],[loyaltyscore]]&gt;=8,"High Value",IF(Table1[[#This Row],[loyaltyscore]]&gt;=5,"Medium Value","Low Value"))</f>
        <v>High Value</v>
      </c>
      <c r="I52" s="4" t="s">
        <v>5</v>
      </c>
      <c r="J52" s="4">
        <v>24</v>
      </c>
    </row>
    <row r="53" spans="1:10" x14ac:dyDescent="0.35">
      <c r="A53" s="4">
        <v>52</v>
      </c>
      <c r="B53" s="4">
        <v>26</v>
      </c>
      <c r="C53" s="4" t="str">
        <f>IF(Table1[[#This Row],[age]]&lt;25,"18-24",IF(Table1[[#This Row],[age]]&lt;35,"25-34",IF(Table1[[#This Row],[age]]&lt;45,"35-44","45+")))</f>
        <v>25-34</v>
      </c>
      <c r="D53" s="5">
        <v>44000</v>
      </c>
      <c r="E53" s="5" t="str">
        <f>IF(Table1[[#This Row],[annual_income]]&lt;40000,"Low",IF(Table1[[#This Row],[annual_income]]&lt;60000,"Medium","High"))</f>
        <v>Medium</v>
      </c>
      <c r="F53" s="6">
        <v>240</v>
      </c>
      <c r="G53" s="4">
        <v>4.3</v>
      </c>
      <c r="H53" s="4" t="str">
        <f>IF(Table1[[#This Row],[loyaltyscore]]&gt;=8,"High Value",IF(Table1[[#This Row],[loyaltyscore]]&gt;=5,"Medium Value","Low Value"))</f>
        <v>Low Value</v>
      </c>
      <c r="I53" s="4" t="s">
        <v>3</v>
      </c>
      <c r="J53" s="4">
        <v>14</v>
      </c>
    </row>
    <row r="54" spans="1:10" x14ac:dyDescent="0.35">
      <c r="A54" s="4">
        <v>53</v>
      </c>
      <c r="B54" s="4">
        <v>45</v>
      </c>
      <c r="C54" s="4" t="str">
        <f>IF(Table1[[#This Row],[age]]&lt;25,"18-24",IF(Table1[[#This Row],[age]]&lt;35,"25-34",IF(Table1[[#This Row],[age]]&lt;45,"35-44","45+")))</f>
        <v>45+</v>
      </c>
      <c r="D54" s="5">
        <v>65000</v>
      </c>
      <c r="E54" s="5" t="str">
        <f>IF(Table1[[#This Row],[annual_income]]&lt;40000,"Low",IF(Table1[[#This Row],[annual_income]]&lt;60000,"Medium","High"))</f>
        <v>High</v>
      </c>
      <c r="F54" s="6">
        <v>500</v>
      </c>
      <c r="G54" s="4">
        <v>8</v>
      </c>
      <c r="H54" s="4" t="str">
        <f>IF(Table1[[#This Row],[loyaltyscore]]&gt;=8,"High Value",IF(Table1[[#This Row],[loyaltyscore]]&gt;=5,"Medium Value","Low Value"))</f>
        <v>High Value</v>
      </c>
      <c r="I54" s="4" t="s">
        <v>4</v>
      </c>
      <c r="J54" s="4">
        <v>22</v>
      </c>
    </row>
    <row r="55" spans="1:10" x14ac:dyDescent="0.35">
      <c r="A55" s="4">
        <v>54</v>
      </c>
      <c r="B55" s="4">
        <v>40</v>
      </c>
      <c r="C55" s="4" t="str">
        <f>IF(Table1[[#This Row],[age]]&lt;25,"18-24",IF(Table1[[#This Row],[age]]&lt;35,"25-34",IF(Table1[[#This Row],[age]]&lt;45,"35-44","45+")))</f>
        <v>35-44</v>
      </c>
      <c r="D55" s="5">
        <v>60000</v>
      </c>
      <c r="E55" s="5" t="str">
        <f>IF(Table1[[#This Row],[annual_income]]&lt;40000,"Low",IF(Table1[[#This Row],[annual_income]]&lt;60000,"Medium","High"))</f>
        <v>High</v>
      </c>
      <c r="F55" s="6">
        <v>450</v>
      </c>
      <c r="G55" s="4">
        <v>7.2</v>
      </c>
      <c r="H55" s="4" t="str">
        <f>IF(Table1[[#This Row],[loyaltyscore]]&gt;=8,"High Value",IF(Table1[[#This Row],[loyaltyscore]]&gt;=5,"Medium Value","Low Value"))</f>
        <v>Medium Value</v>
      </c>
      <c r="I55" s="4" t="s">
        <v>5</v>
      </c>
      <c r="J55" s="4">
        <v>20</v>
      </c>
    </row>
    <row r="56" spans="1:10" x14ac:dyDescent="0.35">
      <c r="A56" s="4">
        <v>55</v>
      </c>
      <c r="B56" s="4">
        <v>38</v>
      </c>
      <c r="C56" s="4" t="str">
        <f>IF(Table1[[#This Row],[age]]&lt;25,"18-24",IF(Table1[[#This Row],[age]]&lt;35,"25-34",IF(Table1[[#This Row],[age]]&lt;45,"35-44","45+")))</f>
        <v>35-44</v>
      </c>
      <c r="D56" s="5">
        <v>59000</v>
      </c>
      <c r="E56" s="5" t="str">
        <f>IF(Table1[[#This Row],[annual_income]]&lt;40000,"Low",IF(Table1[[#This Row],[annual_income]]&lt;60000,"Medium","High"))</f>
        <v>Medium</v>
      </c>
      <c r="F56" s="6">
        <v>430</v>
      </c>
      <c r="G56" s="4">
        <v>6.9</v>
      </c>
      <c r="H56" s="4" t="str">
        <f>IF(Table1[[#This Row],[loyaltyscore]]&gt;=8,"High Value",IF(Table1[[#This Row],[loyaltyscore]]&gt;=5,"Medium Value","Low Value"))</f>
        <v>Medium Value</v>
      </c>
      <c r="I56" s="4" t="s">
        <v>3</v>
      </c>
      <c r="J56" s="4">
        <v>20</v>
      </c>
    </row>
    <row r="57" spans="1:10" x14ac:dyDescent="0.35">
      <c r="A57" s="4">
        <v>56</v>
      </c>
      <c r="B57" s="4">
        <v>54</v>
      </c>
      <c r="C57" s="4" t="str">
        <f>IF(Table1[[#This Row],[age]]&lt;25,"18-24",IF(Table1[[#This Row],[age]]&lt;35,"25-34",IF(Table1[[#This Row],[age]]&lt;45,"35-44","45+")))</f>
        <v>45+</v>
      </c>
      <c r="D57" s="5">
        <v>74000</v>
      </c>
      <c r="E57" s="5" t="str">
        <f>IF(Table1[[#This Row],[annual_income]]&lt;40000,"Low",IF(Table1[[#This Row],[annual_income]]&lt;60000,"Medium","High"))</f>
        <v>High</v>
      </c>
      <c r="F57" s="6">
        <v>630</v>
      </c>
      <c r="G57" s="4">
        <v>9.4</v>
      </c>
      <c r="H57" s="4" t="str">
        <f>IF(Table1[[#This Row],[loyaltyscore]]&gt;=8,"High Value",IF(Table1[[#This Row],[loyaltyscore]]&gt;=5,"Medium Value","Low Value"))</f>
        <v>High Value</v>
      </c>
      <c r="I57" s="4" t="s">
        <v>4</v>
      </c>
      <c r="J57" s="4">
        <v>27</v>
      </c>
    </row>
    <row r="58" spans="1:10" x14ac:dyDescent="0.35">
      <c r="A58" s="4">
        <v>57</v>
      </c>
      <c r="B58" s="4">
        <v>32</v>
      </c>
      <c r="C58" s="4" t="str">
        <f>IF(Table1[[#This Row],[age]]&lt;25,"18-24",IF(Table1[[#This Row],[age]]&lt;35,"25-34",IF(Table1[[#This Row],[age]]&lt;45,"35-44","45+")))</f>
        <v>25-34</v>
      </c>
      <c r="D58" s="5">
        <v>52000</v>
      </c>
      <c r="E58" s="5" t="str">
        <f>IF(Table1[[#This Row],[annual_income]]&lt;40000,"Low",IF(Table1[[#This Row],[annual_income]]&lt;60000,"Medium","High"))</f>
        <v>Medium</v>
      </c>
      <c r="F58" s="6">
        <v>360</v>
      </c>
      <c r="G58" s="4">
        <v>5.8</v>
      </c>
      <c r="H58" s="4" t="str">
        <f>IF(Table1[[#This Row],[loyaltyscore]]&gt;=8,"High Value",IF(Table1[[#This Row],[loyaltyscore]]&gt;=5,"Medium Value","Low Value"))</f>
        <v>Medium Value</v>
      </c>
      <c r="I58" s="4" t="s">
        <v>5</v>
      </c>
      <c r="J58" s="4">
        <v>18</v>
      </c>
    </row>
    <row r="59" spans="1:10" x14ac:dyDescent="0.35">
      <c r="A59" s="4">
        <v>58</v>
      </c>
      <c r="B59" s="4">
        <v>31</v>
      </c>
      <c r="C59" s="4" t="str">
        <f>IF(Table1[[#This Row],[age]]&lt;25,"18-24",IF(Table1[[#This Row],[age]]&lt;35,"25-34",IF(Table1[[#This Row],[age]]&lt;45,"35-44","45+")))</f>
        <v>25-34</v>
      </c>
      <c r="D59" s="5">
        <v>51000</v>
      </c>
      <c r="E59" s="5" t="str">
        <f>IF(Table1[[#This Row],[annual_income]]&lt;40000,"Low",IF(Table1[[#This Row],[annual_income]]&lt;60000,"Medium","High"))</f>
        <v>Medium</v>
      </c>
      <c r="F59" s="6">
        <v>340</v>
      </c>
      <c r="G59" s="4">
        <v>5.6</v>
      </c>
      <c r="H59" s="4" t="str">
        <f>IF(Table1[[#This Row],[loyaltyscore]]&gt;=8,"High Value",IF(Table1[[#This Row],[loyaltyscore]]&gt;=5,"Medium Value","Low Value"))</f>
        <v>Medium Value</v>
      </c>
      <c r="I59" s="4" t="s">
        <v>3</v>
      </c>
      <c r="J59" s="4">
        <v>17</v>
      </c>
    </row>
    <row r="60" spans="1:10" x14ac:dyDescent="0.35">
      <c r="A60" s="4">
        <v>59</v>
      </c>
      <c r="B60" s="4">
        <v>42</v>
      </c>
      <c r="C60" s="4" t="str">
        <f>IF(Table1[[#This Row],[age]]&lt;25,"18-24",IF(Table1[[#This Row],[age]]&lt;35,"25-34",IF(Table1[[#This Row],[age]]&lt;45,"35-44","45+")))</f>
        <v>35-44</v>
      </c>
      <c r="D60" s="5">
        <v>62000</v>
      </c>
      <c r="E60" s="5" t="str">
        <f>IF(Table1[[#This Row],[annual_income]]&lt;40000,"Low",IF(Table1[[#This Row],[annual_income]]&lt;60000,"Medium","High"))</f>
        <v>High</v>
      </c>
      <c r="F60" s="6">
        <v>520</v>
      </c>
      <c r="G60" s="4">
        <v>8.1999999999999993</v>
      </c>
      <c r="H60" s="4" t="str">
        <f>IF(Table1[[#This Row],[loyaltyscore]]&gt;=8,"High Value",IF(Table1[[#This Row],[loyaltyscore]]&gt;=5,"Medium Value","Low Value"))</f>
        <v>High Value</v>
      </c>
      <c r="I60" s="4" t="s">
        <v>4</v>
      </c>
      <c r="J60" s="4">
        <v>23</v>
      </c>
    </row>
    <row r="61" spans="1:10" x14ac:dyDescent="0.35">
      <c r="A61" s="4">
        <v>60</v>
      </c>
      <c r="B61" s="4">
        <v>55</v>
      </c>
      <c r="C61" s="4" t="str">
        <f>IF(Table1[[#This Row],[age]]&lt;25,"18-24",IF(Table1[[#This Row],[age]]&lt;35,"25-34",IF(Table1[[#This Row],[age]]&lt;45,"35-44","45+")))</f>
        <v>45+</v>
      </c>
      <c r="D61" s="5">
        <v>75000</v>
      </c>
      <c r="E61" s="5" t="str">
        <f>IF(Table1[[#This Row],[annual_income]]&lt;40000,"Low",IF(Table1[[#This Row],[annual_income]]&lt;60000,"Medium","High"))</f>
        <v>High</v>
      </c>
      <c r="F61" s="6">
        <v>640</v>
      </c>
      <c r="G61" s="4">
        <v>9.5</v>
      </c>
      <c r="H61" s="4" t="str">
        <f>IF(Table1[[#This Row],[loyaltyscore]]&gt;=8,"High Value",IF(Table1[[#This Row],[loyaltyscore]]&gt;=5,"Medium Value","Low Value"))</f>
        <v>High Value</v>
      </c>
      <c r="I61" s="4" t="s">
        <v>5</v>
      </c>
      <c r="J61" s="4">
        <v>28</v>
      </c>
    </row>
    <row r="62" spans="1:10" x14ac:dyDescent="0.35">
      <c r="A62" s="4">
        <v>61</v>
      </c>
      <c r="B62" s="4">
        <v>29</v>
      </c>
      <c r="C62" s="4" t="str">
        <f>IF(Table1[[#This Row],[age]]&lt;25,"18-24",IF(Table1[[#This Row],[age]]&lt;35,"25-34",IF(Table1[[#This Row],[age]]&lt;45,"35-44","45+")))</f>
        <v>25-34</v>
      </c>
      <c r="D62" s="5">
        <v>46000</v>
      </c>
      <c r="E62" s="5" t="str">
        <f>IF(Table1[[#This Row],[annual_income]]&lt;40000,"Low",IF(Table1[[#This Row],[annual_income]]&lt;60000,"Medium","High"))</f>
        <v>Medium</v>
      </c>
      <c r="F62" s="6">
        <v>270</v>
      </c>
      <c r="G62" s="4">
        <v>4.3</v>
      </c>
      <c r="H62" s="4" t="str">
        <f>IF(Table1[[#This Row],[loyaltyscore]]&gt;=8,"High Value",IF(Table1[[#This Row],[loyaltyscore]]&gt;=5,"Medium Value","Low Value"))</f>
        <v>Low Value</v>
      </c>
      <c r="I62" s="4" t="s">
        <v>3</v>
      </c>
      <c r="J62" s="4">
        <v>15</v>
      </c>
    </row>
    <row r="63" spans="1:10" x14ac:dyDescent="0.35">
      <c r="A63" s="4">
        <v>62</v>
      </c>
      <c r="B63" s="4">
        <v>33</v>
      </c>
      <c r="C63" s="4" t="str">
        <f>IF(Table1[[#This Row],[age]]&lt;25,"18-24",IF(Table1[[#This Row],[age]]&lt;35,"25-34",IF(Table1[[#This Row],[age]]&lt;45,"35-44","45+")))</f>
        <v>25-34</v>
      </c>
      <c r="D63" s="5">
        <v>53000</v>
      </c>
      <c r="E63" s="5" t="str">
        <f>IF(Table1[[#This Row],[annual_income]]&lt;40000,"Low",IF(Table1[[#This Row],[annual_income]]&lt;60000,"Medium","High"))</f>
        <v>Medium</v>
      </c>
      <c r="F63" s="6">
        <v>380</v>
      </c>
      <c r="G63" s="4">
        <v>6</v>
      </c>
      <c r="H63" s="4" t="str">
        <f>IF(Table1[[#This Row],[loyaltyscore]]&gt;=8,"High Value",IF(Table1[[#This Row],[loyaltyscore]]&gt;=5,"Medium Value","Low Value"))</f>
        <v>Medium Value</v>
      </c>
      <c r="I63" s="4" t="s">
        <v>4</v>
      </c>
      <c r="J63" s="4">
        <v>18</v>
      </c>
    </row>
    <row r="64" spans="1:10" x14ac:dyDescent="0.35">
      <c r="A64" s="4">
        <v>63</v>
      </c>
      <c r="B64" s="4">
        <v>51</v>
      </c>
      <c r="C64" s="4" t="str">
        <f>IF(Table1[[#This Row],[age]]&lt;25,"18-24",IF(Table1[[#This Row],[age]]&lt;35,"25-34",IF(Table1[[#This Row],[age]]&lt;45,"35-44","45+")))</f>
        <v>45+</v>
      </c>
      <c r="D64" s="5">
        <v>71000</v>
      </c>
      <c r="E64" s="5" t="str">
        <f>IF(Table1[[#This Row],[annual_income]]&lt;40000,"Low",IF(Table1[[#This Row],[annual_income]]&lt;60000,"Medium","High"))</f>
        <v>High</v>
      </c>
      <c r="F64" s="6">
        <v>600</v>
      </c>
      <c r="G64" s="4">
        <v>9</v>
      </c>
      <c r="H64" s="4" t="str">
        <f>IF(Table1[[#This Row],[loyaltyscore]]&gt;=8,"High Value",IF(Table1[[#This Row],[loyaltyscore]]&gt;=5,"Medium Value","Low Value"))</f>
        <v>High Value</v>
      </c>
      <c r="I64" s="4" t="s">
        <v>5</v>
      </c>
      <c r="J64" s="4">
        <v>25</v>
      </c>
    </row>
    <row r="65" spans="1:10" x14ac:dyDescent="0.35">
      <c r="A65" s="4">
        <v>64</v>
      </c>
      <c r="B65" s="4">
        <v>27</v>
      </c>
      <c r="C65" s="4" t="str">
        <f>IF(Table1[[#This Row],[age]]&lt;25,"18-24",IF(Table1[[#This Row],[age]]&lt;35,"25-34",IF(Table1[[#This Row],[age]]&lt;45,"35-44","45+")))</f>
        <v>25-34</v>
      </c>
      <c r="D65" s="5">
        <v>43000</v>
      </c>
      <c r="E65" s="5" t="str">
        <f>IF(Table1[[#This Row],[annual_income]]&lt;40000,"Low",IF(Table1[[#This Row],[annual_income]]&lt;60000,"Medium","High"))</f>
        <v>Medium</v>
      </c>
      <c r="F65" s="6">
        <v>230</v>
      </c>
      <c r="G65" s="4">
        <v>4</v>
      </c>
      <c r="H65" s="4" t="str">
        <f>IF(Table1[[#This Row],[loyaltyscore]]&gt;=8,"High Value",IF(Table1[[#This Row],[loyaltyscore]]&gt;=5,"Medium Value","Low Value"))</f>
        <v>Low Value</v>
      </c>
      <c r="I65" s="4" t="s">
        <v>3</v>
      </c>
      <c r="J65" s="4">
        <v>14</v>
      </c>
    </row>
    <row r="66" spans="1:10" x14ac:dyDescent="0.35">
      <c r="A66" s="4">
        <v>65</v>
      </c>
      <c r="B66" s="4">
        <v>43</v>
      </c>
      <c r="C66" s="4" t="str">
        <f>IF(Table1[[#This Row],[age]]&lt;25,"18-24",IF(Table1[[#This Row],[age]]&lt;35,"25-34",IF(Table1[[#This Row],[age]]&lt;45,"35-44","45+")))</f>
        <v>35-44</v>
      </c>
      <c r="D66" s="5">
        <v>63000</v>
      </c>
      <c r="E66" s="5" t="str">
        <f>IF(Table1[[#This Row],[annual_income]]&lt;40000,"Low",IF(Table1[[#This Row],[annual_income]]&lt;60000,"Medium","High"))</f>
        <v>High</v>
      </c>
      <c r="F66" s="6">
        <v>470</v>
      </c>
      <c r="G66" s="4">
        <v>7.8</v>
      </c>
      <c r="H66" s="4" t="str">
        <f>IF(Table1[[#This Row],[loyaltyscore]]&gt;=8,"High Value",IF(Table1[[#This Row],[loyaltyscore]]&gt;=5,"Medium Value","Low Value"))</f>
        <v>Medium Value</v>
      </c>
      <c r="I66" s="4" t="s">
        <v>4</v>
      </c>
      <c r="J66" s="4">
        <v>21</v>
      </c>
    </row>
    <row r="67" spans="1:10" x14ac:dyDescent="0.35">
      <c r="A67" s="4">
        <v>66</v>
      </c>
      <c r="B67" s="4">
        <v>41</v>
      </c>
      <c r="C67" s="4" t="str">
        <f>IF(Table1[[#This Row],[age]]&lt;25,"18-24",IF(Table1[[#This Row],[age]]&lt;35,"25-34",IF(Table1[[#This Row],[age]]&lt;45,"35-44","45+")))</f>
        <v>35-44</v>
      </c>
      <c r="D67" s="5">
        <v>61000</v>
      </c>
      <c r="E67" s="5" t="str">
        <f>IF(Table1[[#This Row],[annual_income]]&lt;40000,"Low",IF(Table1[[#This Row],[annual_income]]&lt;60000,"Medium","High"))</f>
        <v>High</v>
      </c>
      <c r="F67" s="6">
        <v>480</v>
      </c>
      <c r="G67" s="4">
        <v>7.7</v>
      </c>
      <c r="H67" s="4" t="str">
        <f>IF(Table1[[#This Row],[loyaltyscore]]&gt;=8,"High Value",IF(Table1[[#This Row],[loyaltyscore]]&gt;=5,"Medium Value","Low Value"))</f>
        <v>Medium Value</v>
      </c>
      <c r="I67" s="4" t="s">
        <v>5</v>
      </c>
      <c r="J67" s="4">
        <v>22</v>
      </c>
    </row>
    <row r="68" spans="1:10" x14ac:dyDescent="0.35">
      <c r="A68" s="4">
        <v>67</v>
      </c>
      <c r="B68" s="4">
        <v>50</v>
      </c>
      <c r="C68" s="4" t="str">
        <f>IF(Table1[[#This Row],[age]]&lt;25,"18-24",IF(Table1[[#This Row],[age]]&lt;35,"25-34",IF(Table1[[#This Row],[age]]&lt;45,"35-44","45+")))</f>
        <v>45+</v>
      </c>
      <c r="D68" s="5">
        <v>70000</v>
      </c>
      <c r="E68" s="5" t="str">
        <f>IF(Table1[[#This Row],[annual_income]]&lt;40000,"Low",IF(Table1[[#This Row],[annual_income]]&lt;60000,"Medium","High"))</f>
        <v>High</v>
      </c>
      <c r="F68" s="6">
        <v>600</v>
      </c>
      <c r="G68" s="4">
        <v>9</v>
      </c>
      <c r="H68" s="4" t="str">
        <f>IF(Table1[[#This Row],[loyaltyscore]]&gt;=8,"High Value",IF(Table1[[#This Row],[loyaltyscore]]&gt;=5,"Medium Value","Low Value"))</f>
        <v>High Value</v>
      </c>
      <c r="I68" s="4" t="s">
        <v>3</v>
      </c>
      <c r="J68" s="4">
        <v>25</v>
      </c>
    </row>
    <row r="69" spans="1:10" x14ac:dyDescent="0.35">
      <c r="A69" s="4">
        <v>68</v>
      </c>
      <c r="B69" s="4">
        <v>24</v>
      </c>
      <c r="C69" s="4" t="str">
        <f>IF(Table1[[#This Row],[age]]&lt;25,"18-24",IF(Table1[[#This Row],[age]]&lt;35,"25-34",IF(Table1[[#This Row],[age]]&lt;45,"35-44","45+")))</f>
        <v>18-24</v>
      </c>
      <c r="D69" s="5">
        <v>32000</v>
      </c>
      <c r="E69" s="5" t="str">
        <f>IF(Table1[[#This Row],[annual_income]]&lt;40000,"Low",IF(Table1[[#This Row],[annual_income]]&lt;60000,"Medium","High"))</f>
        <v>Low</v>
      </c>
      <c r="F69" s="6">
        <v>170</v>
      </c>
      <c r="G69" s="4">
        <v>3.3</v>
      </c>
      <c r="H69" s="4" t="str">
        <f>IF(Table1[[#This Row],[loyaltyscore]]&gt;=8,"High Value",IF(Table1[[#This Row],[loyaltyscore]]&gt;=5,"Medium Value","Low Value"))</f>
        <v>Low Value</v>
      </c>
      <c r="I69" s="4" t="s">
        <v>4</v>
      </c>
      <c r="J69" s="4">
        <v>11</v>
      </c>
    </row>
    <row r="70" spans="1:10" x14ac:dyDescent="0.35">
      <c r="A70" s="4">
        <v>69</v>
      </c>
      <c r="B70" s="4">
        <v>48</v>
      </c>
      <c r="C70" s="4" t="str">
        <f>IF(Table1[[#This Row],[age]]&lt;25,"18-24",IF(Table1[[#This Row],[age]]&lt;35,"25-34",IF(Table1[[#This Row],[age]]&lt;45,"35-44","45+")))</f>
        <v>45+</v>
      </c>
      <c r="D70" s="5">
        <v>68000</v>
      </c>
      <c r="E70" s="5" t="str">
        <f>IF(Table1[[#This Row],[annual_income]]&lt;40000,"Low",IF(Table1[[#This Row],[annual_income]]&lt;60000,"Medium","High"))</f>
        <v>High</v>
      </c>
      <c r="F70" s="6">
        <v>550</v>
      </c>
      <c r="G70" s="4">
        <v>8.5</v>
      </c>
      <c r="H70" s="4" t="str">
        <f>IF(Table1[[#This Row],[loyaltyscore]]&gt;=8,"High Value",IF(Table1[[#This Row],[loyaltyscore]]&gt;=5,"Medium Value","Low Value"))</f>
        <v>High Value</v>
      </c>
      <c r="I70" s="4" t="s">
        <v>5</v>
      </c>
      <c r="J70" s="4">
        <v>24</v>
      </c>
    </row>
    <row r="71" spans="1:10" x14ac:dyDescent="0.35">
      <c r="A71" s="4">
        <v>70</v>
      </c>
      <c r="B71" s="4">
        <v>30</v>
      </c>
      <c r="C71" s="4" t="str">
        <f>IF(Table1[[#This Row],[age]]&lt;25,"18-24",IF(Table1[[#This Row],[age]]&lt;35,"25-34",IF(Table1[[#This Row],[age]]&lt;45,"35-44","45+")))</f>
        <v>25-34</v>
      </c>
      <c r="D71" s="5">
        <v>49000</v>
      </c>
      <c r="E71" s="5" t="str">
        <f>IF(Table1[[#This Row],[annual_income]]&lt;40000,"Low",IF(Table1[[#This Row],[annual_income]]&lt;60000,"Medium","High"))</f>
        <v>Medium</v>
      </c>
      <c r="F71" s="6">
        <v>300</v>
      </c>
      <c r="G71" s="4">
        <v>5</v>
      </c>
      <c r="H71" s="4" t="str">
        <f>IF(Table1[[#This Row],[loyaltyscore]]&gt;=8,"High Value",IF(Table1[[#This Row],[loyaltyscore]]&gt;=5,"Medium Value","Low Value"))</f>
        <v>Medium Value</v>
      </c>
      <c r="I71" s="4" t="s">
        <v>3</v>
      </c>
      <c r="J71" s="4">
        <v>16</v>
      </c>
    </row>
    <row r="72" spans="1:10" x14ac:dyDescent="0.35">
      <c r="A72" s="4">
        <v>71</v>
      </c>
      <c r="B72" s="4">
        <v>39</v>
      </c>
      <c r="C72" s="4" t="str">
        <f>IF(Table1[[#This Row],[age]]&lt;25,"18-24",IF(Table1[[#This Row],[age]]&lt;35,"25-34",IF(Table1[[#This Row],[age]]&lt;45,"35-44","45+")))</f>
        <v>35-44</v>
      </c>
      <c r="D72" s="5">
        <v>57000</v>
      </c>
      <c r="E72" s="5" t="str">
        <f>IF(Table1[[#This Row],[annual_income]]&lt;40000,"Low",IF(Table1[[#This Row],[annual_income]]&lt;60000,"Medium","High"))</f>
        <v>Medium</v>
      </c>
      <c r="F72" s="6">
        <v>440</v>
      </c>
      <c r="G72" s="4">
        <v>7</v>
      </c>
      <c r="H72" s="4" t="str">
        <f>IF(Table1[[#This Row],[loyaltyscore]]&gt;=8,"High Value",IF(Table1[[#This Row],[loyaltyscore]]&gt;=5,"Medium Value","Low Value"))</f>
        <v>Medium Value</v>
      </c>
      <c r="I72" s="4" t="s">
        <v>4</v>
      </c>
      <c r="J72" s="4">
        <v>21</v>
      </c>
    </row>
    <row r="73" spans="1:10" x14ac:dyDescent="0.35">
      <c r="A73" s="4">
        <v>72</v>
      </c>
      <c r="B73" s="4">
        <v>37</v>
      </c>
      <c r="C73" s="4" t="str">
        <f>IF(Table1[[#This Row],[age]]&lt;25,"18-24",IF(Table1[[#This Row],[age]]&lt;35,"25-34",IF(Table1[[#This Row],[age]]&lt;45,"35-44","45+")))</f>
        <v>35-44</v>
      </c>
      <c r="D73" s="5">
        <v>58000</v>
      </c>
      <c r="E73" s="5" t="str">
        <f>IF(Table1[[#This Row],[annual_income]]&lt;40000,"Low",IF(Table1[[#This Row],[annual_income]]&lt;60000,"Medium","High"))</f>
        <v>Medium</v>
      </c>
      <c r="F73" s="6">
        <v>420</v>
      </c>
      <c r="G73" s="4">
        <v>6.8</v>
      </c>
      <c r="H73" s="4" t="str">
        <f>IF(Table1[[#This Row],[loyaltyscore]]&gt;=8,"High Value",IF(Table1[[#This Row],[loyaltyscore]]&gt;=5,"Medium Value","Low Value"))</f>
        <v>Medium Value</v>
      </c>
      <c r="I73" s="4" t="s">
        <v>5</v>
      </c>
      <c r="J73" s="4">
        <v>20</v>
      </c>
    </row>
    <row r="74" spans="1:10" x14ac:dyDescent="0.35">
      <c r="A74" s="4">
        <v>73</v>
      </c>
      <c r="B74" s="4">
        <v>46</v>
      </c>
      <c r="C74" s="4" t="str">
        <f>IF(Table1[[#This Row],[age]]&lt;25,"18-24",IF(Table1[[#This Row],[age]]&lt;35,"25-34",IF(Table1[[#This Row],[age]]&lt;45,"35-44","45+")))</f>
        <v>45+</v>
      </c>
      <c r="D74" s="5">
        <v>66000</v>
      </c>
      <c r="E74" s="5" t="str">
        <f>IF(Table1[[#This Row],[annual_income]]&lt;40000,"Low",IF(Table1[[#This Row],[annual_income]]&lt;60000,"Medium","High"))</f>
        <v>High</v>
      </c>
      <c r="F74" s="6">
        <v>510</v>
      </c>
      <c r="G74" s="4">
        <v>8.1</v>
      </c>
      <c r="H74" s="4" t="str">
        <f>IF(Table1[[#This Row],[loyaltyscore]]&gt;=8,"High Value",IF(Table1[[#This Row],[loyaltyscore]]&gt;=5,"Medium Value","Low Value"))</f>
        <v>High Value</v>
      </c>
      <c r="I74" s="4" t="s">
        <v>3</v>
      </c>
      <c r="J74" s="4">
        <v>22</v>
      </c>
    </row>
    <row r="75" spans="1:10" x14ac:dyDescent="0.35">
      <c r="A75" s="4">
        <v>74</v>
      </c>
      <c r="B75" s="4">
        <v>33</v>
      </c>
      <c r="C75" s="4" t="str">
        <f>IF(Table1[[#This Row],[age]]&lt;25,"18-24",IF(Table1[[#This Row],[age]]&lt;35,"25-34",IF(Table1[[#This Row],[age]]&lt;45,"35-44","45+")))</f>
        <v>25-34</v>
      </c>
      <c r="D75" s="5">
        <v>53000</v>
      </c>
      <c r="E75" s="5" t="str">
        <f>IF(Table1[[#This Row],[annual_income]]&lt;40000,"Low",IF(Table1[[#This Row],[annual_income]]&lt;60000,"Medium","High"))</f>
        <v>Medium</v>
      </c>
      <c r="F75" s="6">
        <v>380</v>
      </c>
      <c r="G75" s="4">
        <v>6</v>
      </c>
      <c r="H75" s="4" t="str">
        <f>IF(Table1[[#This Row],[loyaltyscore]]&gt;=8,"High Value",IF(Table1[[#This Row],[loyaltyscore]]&gt;=5,"Medium Value","Low Value"))</f>
        <v>Medium Value</v>
      </c>
      <c r="I75" s="4" t="s">
        <v>4</v>
      </c>
      <c r="J75" s="4">
        <v>18</v>
      </c>
    </row>
    <row r="76" spans="1:10" x14ac:dyDescent="0.35">
      <c r="A76" s="4">
        <v>75</v>
      </c>
      <c r="B76" s="4">
        <v>52</v>
      </c>
      <c r="C76" s="4" t="str">
        <f>IF(Table1[[#This Row],[age]]&lt;25,"18-24",IF(Table1[[#This Row],[age]]&lt;35,"25-34",IF(Table1[[#This Row],[age]]&lt;45,"35-44","45+")))</f>
        <v>45+</v>
      </c>
      <c r="D76" s="5">
        <v>72000</v>
      </c>
      <c r="E76" s="5" t="str">
        <f>IF(Table1[[#This Row],[annual_income]]&lt;40000,"Low",IF(Table1[[#This Row],[annual_income]]&lt;60000,"Medium","High"))</f>
        <v>High</v>
      </c>
      <c r="F76" s="6">
        <v>610</v>
      </c>
      <c r="G76" s="4">
        <v>9.1999999999999993</v>
      </c>
      <c r="H76" s="4" t="str">
        <f>IF(Table1[[#This Row],[loyaltyscore]]&gt;=8,"High Value",IF(Table1[[#This Row],[loyaltyscore]]&gt;=5,"Medium Value","Low Value"))</f>
        <v>High Value</v>
      </c>
      <c r="I76" s="4" t="s">
        <v>5</v>
      </c>
      <c r="J76" s="4">
        <v>26</v>
      </c>
    </row>
    <row r="77" spans="1:10" x14ac:dyDescent="0.35">
      <c r="A77" s="4">
        <v>76</v>
      </c>
      <c r="B77" s="4">
        <v>28</v>
      </c>
      <c r="C77" s="4" t="str">
        <f>IF(Table1[[#This Row],[age]]&lt;25,"18-24",IF(Table1[[#This Row],[age]]&lt;35,"25-34",IF(Table1[[#This Row],[age]]&lt;45,"35-44","45+")))</f>
        <v>25-34</v>
      </c>
      <c r="D77" s="5">
        <v>46000</v>
      </c>
      <c r="E77" s="5" t="str">
        <f>IF(Table1[[#This Row],[annual_income]]&lt;40000,"Low",IF(Table1[[#This Row],[annual_income]]&lt;60000,"Medium","High"))</f>
        <v>Medium</v>
      </c>
      <c r="F77" s="6">
        <v>250</v>
      </c>
      <c r="G77" s="4">
        <v>4.2</v>
      </c>
      <c r="H77" s="4" t="str">
        <f>IF(Table1[[#This Row],[loyaltyscore]]&gt;=8,"High Value",IF(Table1[[#This Row],[loyaltyscore]]&gt;=5,"Medium Value","Low Value"))</f>
        <v>Low Value</v>
      </c>
      <c r="I77" s="4" t="s">
        <v>3</v>
      </c>
      <c r="J77" s="4">
        <v>14</v>
      </c>
    </row>
    <row r="78" spans="1:10" x14ac:dyDescent="0.35">
      <c r="A78" s="4">
        <v>77</v>
      </c>
      <c r="B78" s="4">
        <v>41</v>
      </c>
      <c r="C78" s="4" t="str">
        <f>IF(Table1[[#This Row],[age]]&lt;25,"18-24",IF(Table1[[#This Row],[age]]&lt;35,"25-34",IF(Table1[[#This Row],[age]]&lt;45,"35-44","45+")))</f>
        <v>35-44</v>
      </c>
      <c r="D78" s="5">
        <v>61000</v>
      </c>
      <c r="E78" s="5" t="str">
        <f>IF(Table1[[#This Row],[annual_income]]&lt;40000,"Low",IF(Table1[[#This Row],[annual_income]]&lt;60000,"Medium","High"))</f>
        <v>High</v>
      </c>
      <c r="F78" s="6">
        <v>480</v>
      </c>
      <c r="G78" s="4">
        <v>7.8</v>
      </c>
      <c r="H78" s="4" t="str">
        <f>IF(Table1[[#This Row],[loyaltyscore]]&gt;=8,"High Value",IF(Table1[[#This Row],[loyaltyscore]]&gt;=5,"Medium Value","Low Value"))</f>
        <v>Medium Value</v>
      </c>
      <c r="I78" s="4" t="s">
        <v>4</v>
      </c>
      <c r="J78" s="4">
        <v>21</v>
      </c>
    </row>
    <row r="79" spans="1:10" x14ac:dyDescent="0.35">
      <c r="A79" s="4">
        <v>78</v>
      </c>
      <c r="B79" s="4">
        <v>50</v>
      </c>
      <c r="C79" s="4" t="str">
        <f>IF(Table1[[#This Row],[age]]&lt;25,"18-24",IF(Table1[[#This Row],[age]]&lt;35,"25-34",IF(Table1[[#This Row],[age]]&lt;45,"35-44","45+")))</f>
        <v>45+</v>
      </c>
      <c r="D79" s="5">
        <v>70000</v>
      </c>
      <c r="E79" s="5" t="str">
        <f>IF(Table1[[#This Row],[annual_income]]&lt;40000,"Low",IF(Table1[[#This Row],[annual_income]]&lt;60000,"Medium","High"))</f>
        <v>High</v>
      </c>
      <c r="F79" s="6">
        <v>600</v>
      </c>
      <c r="G79" s="4">
        <v>9</v>
      </c>
      <c r="H79" s="4" t="str">
        <f>IF(Table1[[#This Row],[loyaltyscore]]&gt;=8,"High Value",IF(Table1[[#This Row],[loyaltyscore]]&gt;=5,"Medium Value","Low Value"))</f>
        <v>High Value</v>
      </c>
      <c r="I79" s="4" t="s">
        <v>5</v>
      </c>
      <c r="J79" s="4">
        <v>25</v>
      </c>
    </row>
    <row r="80" spans="1:10" x14ac:dyDescent="0.35">
      <c r="A80" s="4">
        <v>79</v>
      </c>
      <c r="B80" s="4">
        <v>36</v>
      </c>
      <c r="C80" s="4" t="str">
        <f>IF(Table1[[#This Row],[age]]&lt;25,"18-24",IF(Table1[[#This Row],[age]]&lt;35,"25-34",IF(Table1[[#This Row],[age]]&lt;45,"35-44","45+")))</f>
        <v>35-44</v>
      </c>
      <c r="D80" s="5">
        <v>54000</v>
      </c>
      <c r="E80" s="5" t="str">
        <f>IF(Table1[[#This Row],[annual_income]]&lt;40000,"Low",IF(Table1[[#This Row],[annual_income]]&lt;60000,"Medium","High"))</f>
        <v>Medium</v>
      </c>
      <c r="F80" s="6">
        <v>400</v>
      </c>
      <c r="G80" s="4">
        <v>6.5</v>
      </c>
      <c r="H80" s="4" t="str">
        <f>IF(Table1[[#This Row],[loyaltyscore]]&gt;=8,"High Value",IF(Table1[[#This Row],[loyaltyscore]]&gt;=5,"Medium Value","Low Value"))</f>
        <v>Medium Value</v>
      </c>
      <c r="I80" s="4" t="s">
        <v>3</v>
      </c>
      <c r="J80" s="4">
        <v>19</v>
      </c>
    </row>
    <row r="81" spans="1:10" x14ac:dyDescent="0.35">
      <c r="A81" s="4">
        <v>80</v>
      </c>
      <c r="B81" s="4">
        <v>24</v>
      </c>
      <c r="C81" s="4" t="str">
        <f>IF(Table1[[#This Row],[age]]&lt;25,"18-24",IF(Table1[[#This Row],[age]]&lt;35,"25-34",IF(Table1[[#This Row],[age]]&lt;45,"35-44","45+")))</f>
        <v>18-24</v>
      </c>
      <c r="D81" s="5">
        <v>32000</v>
      </c>
      <c r="E81" s="5" t="str">
        <f>IF(Table1[[#This Row],[annual_income]]&lt;40000,"Low",IF(Table1[[#This Row],[annual_income]]&lt;60000,"Medium","High"))</f>
        <v>Low</v>
      </c>
      <c r="F81" s="6">
        <v>170</v>
      </c>
      <c r="G81" s="4">
        <v>3.3</v>
      </c>
      <c r="H81" s="4" t="str">
        <f>IF(Table1[[#This Row],[loyaltyscore]]&gt;=8,"High Value",IF(Table1[[#This Row],[loyaltyscore]]&gt;=5,"Medium Value","Low Value"))</f>
        <v>Low Value</v>
      </c>
      <c r="I81" s="4" t="s">
        <v>4</v>
      </c>
      <c r="J81" s="4">
        <v>11</v>
      </c>
    </row>
    <row r="82" spans="1:10" x14ac:dyDescent="0.35">
      <c r="A82" s="4">
        <v>81</v>
      </c>
      <c r="B82" s="4">
        <v>49</v>
      </c>
      <c r="C82" s="4" t="str">
        <f>IF(Table1[[#This Row],[age]]&lt;25,"18-24",IF(Table1[[#This Row],[age]]&lt;35,"25-34",IF(Table1[[#This Row],[age]]&lt;45,"35-44","45+")))</f>
        <v>45+</v>
      </c>
      <c r="D82" s="5">
        <v>69000</v>
      </c>
      <c r="E82" s="5" t="str">
        <f>IF(Table1[[#This Row],[annual_income]]&lt;40000,"Low",IF(Table1[[#This Row],[annual_income]]&lt;60000,"Medium","High"))</f>
        <v>High</v>
      </c>
      <c r="F82" s="6">
        <v>590</v>
      </c>
      <c r="G82" s="4">
        <v>8.9</v>
      </c>
      <c r="H82" s="4" t="str">
        <f>IF(Table1[[#This Row],[loyaltyscore]]&gt;=8,"High Value",IF(Table1[[#This Row],[loyaltyscore]]&gt;=5,"Medium Value","Low Value"))</f>
        <v>High Value</v>
      </c>
      <c r="I82" s="4" t="s">
        <v>5</v>
      </c>
      <c r="J82" s="4">
        <v>24</v>
      </c>
    </row>
    <row r="83" spans="1:10" x14ac:dyDescent="0.35">
      <c r="A83" s="4">
        <v>82</v>
      </c>
      <c r="B83" s="4">
        <v>26</v>
      </c>
      <c r="C83" s="4" t="str">
        <f>IF(Table1[[#This Row],[age]]&lt;25,"18-24",IF(Table1[[#This Row],[age]]&lt;35,"25-34",IF(Table1[[#This Row],[age]]&lt;45,"35-44","45+")))</f>
        <v>25-34</v>
      </c>
      <c r="D83" s="5">
        <v>44000</v>
      </c>
      <c r="E83" s="5" t="str">
        <f>IF(Table1[[#This Row],[annual_income]]&lt;40000,"Low",IF(Table1[[#This Row],[annual_income]]&lt;60000,"Medium","High"))</f>
        <v>Medium</v>
      </c>
      <c r="F83" s="6">
        <v>240</v>
      </c>
      <c r="G83" s="4">
        <v>4.3</v>
      </c>
      <c r="H83" s="4" t="str">
        <f>IF(Table1[[#This Row],[loyaltyscore]]&gt;=8,"High Value",IF(Table1[[#This Row],[loyaltyscore]]&gt;=5,"Medium Value","Low Value"))</f>
        <v>Low Value</v>
      </c>
      <c r="I83" s="4" t="s">
        <v>3</v>
      </c>
      <c r="J83" s="4">
        <v>14</v>
      </c>
    </row>
    <row r="84" spans="1:10" x14ac:dyDescent="0.35">
      <c r="A84" s="4">
        <v>83</v>
      </c>
      <c r="B84" s="4">
        <v>45</v>
      </c>
      <c r="C84" s="4" t="str">
        <f>IF(Table1[[#This Row],[age]]&lt;25,"18-24",IF(Table1[[#This Row],[age]]&lt;35,"25-34",IF(Table1[[#This Row],[age]]&lt;45,"35-44","45+")))</f>
        <v>45+</v>
      </c>
      <c r="D84" s="5">
        <v>65000</v>
      </c>
      <c r="E84" s="5" t="str">
        <f>IF(Table1[[#This Row],[annual_income]]&lt;40000,"Low",IF(Table1[[#This Row],[annual_income]]&lt;60000,"Medium","High"))</f>
        <v>High</v>
      </c>
      <c r="F84" s="6">
        <v>500</v>
      </c>
      <c r="G84" s="4">
        <v>8</v>
      </c>
      <c r="H84" s="4" t="str">
        <f>IF(Table1[[#This Row],[loyaltyscore]]&gt;=8,"High Value",IF(Table1[[#This Row],[loyaltyscore]]&gt;=5,"Medium Value","Low Value"))</f>
        <v>High Value</v>
      </c>
      <c r="I84" s="4" t="s">
        <v>4</v>
      </c>
      <c r="J84" s="4">
        <v>22</v>
      </c>
    </row>
    <row r="85" spans="1:10" x14ac:dyDescent="0.35">
      <c r="A85" s="4">
        <v>84</v>
      </c>
      <c r="B85" s="4">
        <v>40</v>
      </c>
      <c r="C85" s="4" t="str">
        <f>IF(Table1[[#This Row],[age]]&lt;25,"18-24",IF(Table1[[#This Row],[age]]&lt;35,"25-34",IF(Table1[[#This Row],[age]]&lt;45,"35-44","45+")))</f>
        <v>35-44</v>
      </c>
      <c r="D85" s="5">
        <v>60000</v>
      </c>
      <c r="E85" s="5" t="str">
        <f>IF(Table1[[#This Row],[annual_income]]&lt;40000,"Low",IF(Table1[[#This Row],[annual_income]]&lt;60000,"Medium","High"))</f>
        <v>High</v>
      </c>
      <c r="F85" s="6">
        <v>450</v>
      </c>
      <c r="G85" s="4">
        <v>7.2</v>
      </c>
      <c r="H85" s="4" t="str">
        <f>IF(Table1[[#This Row],[loyaltyscore]]&gt;=8,"High Value",IF(Table1[[#This Row],[loyaltyscore]]&gt;=5,"Medium Value","Low Value"))</f>
        <v>Medium Value</v>
      </c>
      <c r="I85" s="4" t="s">
        <v>5</v>
      </c>
      <c r="J85" s="4">
        <v>20</v>
      </c>
    </row>
    <row r="86" spans="1:10" x14ac:dyDescent="0.35">
      <c r="A86" s="4">
        <v>85</v>
      </c>
      <c r="B86" s="4">
        <v>38</v>
      </c>
      <c r="C86" s="4" t="str">
        <f>IF(Table1[[#This Row],[age]]&lt;25,"18-24",IF(Table1[[#This Row],[age]]&lt;35,"25-34",IF(Table1[[#This Row],[age]]&lt;45,"35-44","45+")))</f>
        <v>35-44</v>
      </c>
      <c r="D86" s="5">
        <v>59000</v>
      </c>
      <c r="E86" s="5" t="str">
        <f>IF(Table1[[#This Row],[annual_income]]&lt;40000,"Low",IF(Table1[[#This Row],[annual_income]]&lt;60000,"Medium","High"))</f>
        <v>Medium</v>
      </c>
      <c r="F86" s="6">
        <v>430</v>
      </c>
      <c r="G86" s="4">
        <v>6.9</v>
      </c>
      <c r="H86" s="4" t="str">
        <f>IF(Table1[[#This Row],[loyaltyscore]]&gt;=8,"High Value",IF(Table1[[#This Row],[loyaltyscore]]&gt;=5,"Medium Value","Low Value"))</f>
        <v>Medium Value</v>
      </c>
      <c r="I86" s="4" t="s">
        <v>3</v>
      </c>
      <c r="J86" s="4">
        <v>20</v>
      </c>
    </row>
    <row r="87" spans="1:10" x14ac:dyDescent="0.35">
      <c r="A87" s="4">
        <v>86</v>
      </c>
      <c r="B87" s="4">
        <v>54</v>
      </c>
      <c r="C87" s="4" t="str">
        <f>IF(Table1[[#This Row],[age]]&lt;25,"18-24",IF(Table1[[#This Row],[age]]&lt;35,"25-34",IF(Table1[[#This Row],[age]]&lt;45,"35-44","45+")))</f>
        <v>45+</v>
      </c>
      <c r="D87" s="5">
        <v>74000</v>
      </c>
      <c r="E87" s="5" t="str">
        <f>IF(Table1[[#This Row],[annual_income]]&lt;40000,"Low",IF(Table1[[#This Row],[annual_income]]&lt;60000,"Medium","High"))</f>
        <v>High</v>
      </c>
      <c r="F87" s="6">
        <v>630</v>
      </c>
      <c r="G87" s="4">
        <v>9.4</v>
      </c>
      <c r="H87" s="4" t="str">
        <f>IF(Table1[[#This Row],[loyaltyscore]]&gt;=8,"High Value",IF(Table1[[#This Row],[loyaltyscore]]&gt;=5,"Medium Value","Low Value"))</f>
        <v>High Value</v>
      </c>
      <c r="I87" s="4" t="s">
        <v>4</v>
      </c>
      <c r="J87" s="4">
        <v>27</v>
      </c>
    </row>
    <row r="88" spans="1:10" x14ac:dyDescent="0.35">
      <c r="A88" s="4">
        <v>87</v>
      </c>
      <c r="B88" s="4">
        <v>32</v>
      </c>
      <c r="C88" s="4" t="str">
        <f>IF(Table1[[#This Row],[age]]&lt;25,"18-24",IF(Table1[[#This Row],[age]]&lt;35,"25-34",IF(Table1[[#This Row],[age]]&lt;45,"35-44","45+")))</f>
        <v>25-34</v>
      </c>
      <c r="D88" s="5">
        <v>52000</v>
      </c>
      <c r="E88" s="5" t="str">
        <f>IF(Table1[[#This Row],[annual_income]]&lt;40000,"Low",IF(Table1[[#This Row],[annual_income]]&lt;60000,"Medium","High"))</f>
        <v>Medium</v>
      </c>
      <c r="F88" s="6">
        <v>360</v>
      </c>
      <c r="G88" s="4">
        <v>5.8</v>
      </c>
      <c r="H88" s="4" t="str">
        <f>IF(Table1[[#This Row],[loyaltyscore]]&gt;=8,"High Value",IF(Table1[[#This Row],[loyaltyscore]]&gt;=5,"Medium Value","Low Value"))</f>
        <v>Medium Value</v>
      </c>
      <c r="I88" s="4" t="s">
        <v>5</v>
      </c>
      <c r="J88" s="4">
        <v>18</v>
      </c>
    </row>
    <row r="89" spans="1:10" x14ac:dyDescent="0.35">
      <c r="A89" s="4">
        <v>88</v>
      </c>
      <c r="B89" s="4">
        <v>31</v>
      </c>
      <c r="C89" s="4" t="str">
        <f>IF(Table1[[#This Row],[age]]&lt;25,"18-24",IF(Table1[[#This Row],[age]]&lt;35,"25-34",IF(Table1[[#This Row],[age]]&lt;45,"35-44","45+")))</f>
        <v>25-34</v>
      </c>
      <c r="D89" s="5">
        <v>51000</v>
      </c>
      <c r="E89" s="5" t="str">
        <f>IF(Table1[[#This Row],[annual_income]]&lt;40000,"Low",IF(Table1[[#This Row],[annual_income]]&lt;60000,"Medium","High"))</f>
        <v>Medium</v>
      </c>
      <c r="F89" s="6">
        <v>340</v>
      </c>
      <c r="G89" s="4">
        <v>5.6</v>
      </c>
      <c r="H89" s="4" t="str">
        <f>IF(Table1[[#This Row],[loyaltyscore]]&gt;=8,"High Value",IF(Table1[[#This Row],[loyaltyscore]]&gt;=5,"Medium Value","Low Value"))</f>
        <v>Medium Value</v>
      </c>
      <c r="I89" s="4" t="s">
        <v>3</v>
      </c>
      <c r="J89" s="4">
        <v>17</v>
      </c>
    </row>
    <row r="90" spans="1:10" x14ac:dyDescent="0.35">
      <c r="A90" s="4">
        <v>89</v>
      </c>
      <c r="B90" s="4">
        <v>42</v>
      </c>
      <c r="C90" s="4" t="str">
        <f>IF(Table1[[#This Row],[age]]&lt;25,"18-24",IF(Table1[[#This Row],[age]]&lt;35,"25-34",IF(Table1[[#This Row],[age]]&lt;45,"35-44","45+")))</f>
        <v>35-44</v>
      </c>
      <c r="D90" s="5">
        <v>62000</v>
      </c>
      <c r="E90" s="5" t="str">
        <f>IF(Table1[[#This Row],[annual_income]]&lt;40000,"Low",IF(Table1[[#This Row],[annual_income]]&lt;60000,"Medium","High"))</f>
        <v>High</v>
      </c>
      <c r="F90" s="6">
        <v>520</v>
      </c>
      <c r="G90" s="4">
        <v>8.1999999999999993</v>
      </c>
      <c r="H90" s="4" t="str">
        <f>IF(Table1[[#This Row],[loyaltyscore]]&gt;=8,"High Value",IF(Table1[[#This Row],[loyaltyscore]]&gt;=5,"Medium Value","Low Value"))</f>
        <v>High Value</v>
      </c>
      <c r="I90" s="4" t="s">
        <v>4</v>
      </c>
      <c r="J90" s="4">
        <v>23</v>
      </c>
    </row>
    <row r="91" spans="1:10" x14ac:dyDescent="0.35">
      <c r="A91" s="4">
        <v>90</v>
      </c>
      <c r="B91" s="4">
        <v>55</v>
      </c>
      <c r="C91" s="4" t="str">
        <f>IF(Table1[[#This Row],[age]]&lt;25,"18-24",IF(Table1[[#This Row],[age]]&lt;35,"25-34",IF(Table1[[#This Row],[age]]&lt;45,"35-44","45+")))</f>
        <v>45+</v>
      </c>
      <c r="D91" s="5">
        <v>75000</v>
      </c>
      <c r="E91" s="5" t="str">
        <f>IF(Table1[[#This Row],[annual_income]]&lt;40000,"Low",IF(Table1[[#This Row],[annual_income]]&lt;60000,"Medium","High"))</f>
        <v>High</v>
      </c>
      <c r="F91" s="6">
        <v>640</v>
      </c>
      <c r="G91" s="4">
        <v>9.5</v>
      </c>
      <c r="H91" s="4" t="str">
        <f>IF(Table1[[#This Row],[loyaltyscore]]&gt;=8,"High Value",IF(Table1[[#This Row],[loyaltyscore]]&gt;=5,"Medium Value","Low Value"))</f>
        <v>High Value</v>
      </c>
      <c r="I91" s="4" t="s">
        <v>5</v>
      </c>
      <c r="J91" s="4">
        <v>28</v>
      </c>
    </row>
    <row r="92" spans="1:10" x14ac:dyDescent="0.35">
      <c r="A92" s="4">
        <v>91</v>
      </c>
      <c r="B92" s="4">
        <v>29</v>
      </c>
      <c r="C92" s="4" t="str">
        <f>IF(Table1[[#This Row],[age]]&lt;25,"18-24",IF(Table1[[#This Row],[age]]&lt;35,"25-34",IF(Table1[[#This Row],[age]]&lt;45,"35-44","45+")))</f>
        <v>25-34</v>
      </c>
      <c r="D92" s="5">
        <v>46000</v>
      </c>
      <c r="E92" s="5" t="str">
        <f>IF(Table1[[#This Row],[annual_income]]&lt;40000,"Low",IF(Table1[[#This Row],[annual_income]]&lt;60000,"Medium","High"))</f>
        <v>Medium</v>
      </c>
      <c r="F92" s="6">
        <v>270</v>
      </c>
      <c r="G92" s="4">
        <v>4.3</v>
      </c>
      <c r="H92" s="4" t="str">
        <f>IF(Table1[[#This Row],[loyaltyscore]]&gt;=8,"High Value",IF(Table1[[#This Row],[loyaltyscore]]&gt;=5,"Medium Value","Low Value"))</f>
        <v>Low Value</v>
      </c>
      <c r="I92" s="4" t="s">
        <v>3</v>
      </c>
      <c r="J92" s="4">
        <v>15</v>
      </c>
    </row>
    <row r="93" spans="1:10" x14ac:dyDescent="0.35">
      <c r="A93" s="4">
        <v>92</v>
      </c>
      <c r="B93" s="4">
        <v>33</v>
      </c>
      <c r="C93" s="4" t="str">
        <f>IF(Table1[[#This Row],[age]]&lt;25,"18-24",IF(Table1[[#This Row],[age]]&lt;35,"25-34",IF(Table1[[#This Row],[age]]&lt;45,"35-44","45+")))</f>
        <v>25-34</v>
      </c>
      <c r="D93" s="5">
        <v>53000</v>
      </c>
      <c r="E93" s="5" t="str">
        <f>IF(Table1[[#This Row],[annual_income]]&lt;40000,"Low",IF(Table1[[#This Row],[annual_income]]&lt;60000,"Medium","High"))</f>
        <v>Medium</v>
      </c>
      <c r="F93" s="6">
        <v>380</v>
      </c>
      <c r="G93" s="4">
        <v>6</v>
      </c>
      <c r="H93" s="4" t="str">
        <f>IF(Table1[[#This Row],[loyaltyscore]]&gt;=8,"High Value",IF(Table1[[#This Row],[loyaltyscore]]&gt;=5,"Medium Value","Low Value"))</f>
        <v>Medium Value</v>
      </c>
      <c r="I93" s="4" t="s">
        <v>4</v>
      </c>
      <c r="J93" s="4">
        <v>18</v>
      </c>
    </row>
    <row r="94" spans="1:10" x14ac:dyDescent="0.35">
      <c r="A94" s="4">
        <v>93</v>
      </c>
      <c r="B94" s="4">
        <v>51</v>
      </c>
      <c r="C94" s="4" t="str">
        <f>IF(Table1[[#This Row],[age]]&lt;25,"18-24",IF(Table1[[#This Row],[age]]&lt;35,"25-34",IF(Table1[[#This Row],[age]]&lt;45,"35-44","45+")))</f>
        <v>45+</v>
      </c>
      <c r="D94" s="5">
        <v>71000</v>
      </c>
      <c r="E94" s="5" t="str">
        <f>IF(Table1[[#This Row],[annual_income]]&lt;40000,"Low",IF(Table1[[#This Row],[annual_income]]&lt;60000,"Medium","High"))</f>
        <v>High</v>
      </c>
      <c r="F94" s="6">
        <v>600</v>
      </c>
      <c r="G94" s="4">
        <v>9</v>
      </c>
      <c r="H94" s="4" t="str">
        <f>IF(Table1[[#This Row],[loyaltyscore]]&gt;=8,"High Value",IF(Table1[[#This Row],[loyaltyscore]]&gt;=5,"Medium Value","Low Value"))</f>
        <v>High Value</v>
      </c>
      <c r="I94" s="4" t="s">
        <v>5</v>
      </c>
      <c r="J94" s="4">
        <v>25</v>
      </c>
    </row>
    <row r="95" spans="1:10" x14ac:dyDescent="0.35">
      <c r="A95" s="4">
        <v>94</v>
      </c>
      <c r="B95" s="4">
        <v>27</v>
      </c>
      <c r="C95" s="4" t="str">
        <f>IF(Table1[[#This Row],[age]]&lt;25,"18-24",IF(Table1[[#This Row],[age]]&lt;35,"25-34",IF(Table1[[#This Row],[age]]&lt;45,"35-44","45+")))</f>
        <v>25-34</v>
      </c>
      <c r="D95" s="5">
        <v>43000</v>
      </c>
      <c r="E95" s="5" t="str">
        <f>IF(Table1[[#This Row],[annual_income]]&lt;40000,"Low",IF(Table1[[#This Row],[annual_income]]&lt;60000,"Medium","High"))</f>
        <v>Medium</v>
      </c>
      <c r="F95" s="6">
        <v>230</v>
      </c>
      <c r="G95" s="4">
        <v>4</v>
      </c>
      <c r="H95" s="4" t="str">
        <f>IF(Table1[[#This Row],[loyaltyscore]]&gt;=8,"High Value",IF(Table1[[#This Row],[loyaltyscore]]&gt;=5,"Medium Value","Low Value"))</f>
        <v>Low Value</v>
      </c>
      <c r="I95" s="4" t="s">
        <v>3</v>
      </c>
      <c r="J95" s="4">
        <v>14</v>
      </c>
    </row>
    <row r="96" spans="1:10" x14ac:dyDescent="0.35">
      <c r="A96" s="4">
        <v>95</v>
      </c>
      <c r="B96" s="4">
        <v>43</v>
      </c>
      <c r="C96" s="4" t="str">
        <f>IF(Table1[[#This Row],[age]]&lt;25,"18-24",IF(Table1[[#This Row],[age]]&lt;35,"25-34",IF(Table1[[#This Row],[age]]&lt;45,"35-44","45+")))</f>
        <v>35-44</v>
      </c>
      <c r="D96" s="5">
        <v>63000</v>
      </c>
      <c r="E96" s="5" t="str">
        <f>IF(Table1[[#This Row],[annual_income]]&lt;40000,"Low",IF(Table1[[#This Row],[annual_income]]&lt;60000,"Medium","High"))</f>
        <v>High</v>
      </c>
      <c r="F96" s="6">
        <v>470</v>
      </c>
      <c r="G96" s="4">
        <v>7.8</v>
      </c>
      <c r="H96" s="4" t="str">
        <f>IF(Table1[[#This Row],[loyaltyscore]]&gt;=8,"High Value",IF(Table1[[#This Row],[loyaltyscore]]&gt;=5,"Medium Value","Low Value"))</f>
        <v>Medium Value</v>
      </c>
      <c r="I96" s="4" t="s">
        <v>4</v>
      </c>
      <c r="J96" s="4">
        <v>21</v>
      </c>
    </row>
    <row r="97" spans="1:10" x14ac:dyDescent="0.35">
      <c r="A97" s="4">
        <v>96</v>
      </c>
      <c r="B97" s="4">
        <v>41</v>
      </c>
      <c r="C97" s="4" t="str">
        <f>IF(Table1[[#This Row],[age]]&lt;25,"18-24",IF(Table1[[#This Row],[age]]&lt;35,"25-34",IF(Table1[[#This Row],[age]]&lt;45,"35-44","45+")))</f>
        <v>35-44</v>
      </c>
      <c r="D97" s="5">
        <v>61000</v>
      </c>
      <c r="E97" s="5" t="str">
        <f>IF(Table1[[#This Row],[annual_income]]&lt;40000,"Low",IF(Table1[[#This Row],[annual_income]]&lt;60000,"Medium","High"))</f>
        <v>High</v>
      </c>
      <c r="F97" s="6">
        <v>480</v>
      </c>
      <c r="G97" s="4">
        <v>7.7</v>
      </c>
      <c r="H97" s="4" t="str">
        <f>IF(Table1[[#This Row],[loyaltyscore]]&gt;=8,"High Value",IF(Table1[[#This Row],[loyaltyscore]]&gt;=5,"Medium Value","Low Value"))</f>
        <v>Medium Value</v>
      </c>
      <c r="I97" s="4" t="s">
        <v>5</v>
      </c>
      <c r="J97" s="4">
        <v>22</v>
      </c>
    </row>
    <row r="98" spans="1:10" x14ac:dyDescent="0.35">
      <c r="A98" s="4">
        <v>97</v>
      </c>
      <c r="B98" s="4">
        <v>50</v>
      </c>
      <c r="C98" s="4" t="str">
        <f>IF(Table1[[#This Row],[age]]&lt;25,"18-24",IF(Table1[[#This Row],[age]]&lt;35,"25-34",IF(Table1[[#This Row],[age]]&lt;45,"35-44","45+")))</f>
        <v>45+</v>
      </c>
      <c r="D98" s="5">
        <v>70000</v>
      </c>
      <c r="E98" s="5" t="str">
        <f>IF(Table1[[#This Row],[annual_income]]&lt;40000,"Low",IF(Table1[[#This Row],[annual_income]]&lt;60000,"Medium","High"))</f>
        <v>High</v>
      </c>
      <c r="F98" s="6">
        <v>600</v>
      </c>
      <c r="G98" s="4">
        <v>9</v>
      </c>
      <c r="H98" s="4" t="str">
        <f>IF(Table1[[#This Row],[loyaltyscore]]&gt;=8,"High Value",IF(Table1[[#This Row],[loyaltyscore]]&gt;=5,"Medium Value","Low Value"))</f>
        <v>High Value</v>
      </c>
      <c r="I98" s="4" t="s">
        <v>3</v>
      </c>
      <c r="J98" s="4">
        <v>25</v>
      </c>
    </row>
    <row r="99" spans="1:10" x14ac:dyDescent="0.35">
      <c r="A99" s="4">
        <v>98</v>
      </c>
      <c r="B99" s="4">
        <v>24</v>
      </c>
      <c r="C99" s="4" t="str">
        <f>IF(Table1[[#This Row],[age]]&lt;25,"18-24",IF(Table1[[#This Row],[age]]&lt;35,"25-34",IF(Table1[[#This Row],[age]]&lt;45,"35-44","45+")))</f>
        <v>18-24</v>
      </c>
      <c r="D99" s="5">
        <v>32000</v>
      </c>
      <c r="E99" s="5" t="str">
        <f>IF(Table1[[#This Row],[annual_income]]&lt;40000,"Low",IF(Table1[[#This Row],[annual_income]]&lt;60000,"Medium","High"))</f>
        <v>Low</v>
      </c>
      <c r="F99" s="6">
        <v>170</v>
      </c>
      <c r="G99" s="4">
        <v>3.3</v>
      </c>
      <c r="H99" s="4" t="str">
        <f>IF(Table1[[#This Row],[loyaltyscore]]&gt;=8,"High Value",IF(Table1[[#This Row],[loyaltyscore]]&gt;=5,"Medium Value","Low Value"))</f>
        <v>Low Value</v>
      </c>
      <c r="I99" s="4" t="s">
        <v>4</v>
      </c>
      <c r="J99" s="4">
        <v>11</v>
      </c>
    </row>
    <row r="100" spans="1:10" x14ac:dyDescent="0.35">
      <c r="A100" s="4">
        <v>99</v>
      </c>
      <c r="B100" s="4">
        <v>48</v>
      </c>
      <c r="C100" s="4" t="str">
        <f>IF(Table1[[#This Row],[age]]&lt;25,"18-24",IF(Table1[[#This Row],[age]]&lt;35,"25-34",IF(Table1[[#This Row],[age]]&lt;45,"35-44","45+")))</f>
        <v>45+</v>
      </c>
      <c r="D100" s="5">
        <v>68000</v>
      </c>
      <c r="E100" s="5" t="str">
        <f>IF(Table1[[#This Row],[annual_income]]&lt;40000,"Low",IF(Table1[[#This Row],[annual_income]]&lt;60000,"Medium","High"))</f>
        <v>High</v>
      </c>
      <c r="F100" s="6">
        <v>550</v>
      </c>
      <c r="G100" s="4">
        <v>8.5</v>
      </c>
      <c r="H100" s="4" t="str">
        <f>IF(Table1[[#This Row],[loyaltyscore]]&gt;=8,"High Value",IF(Table1[[#This Row],[loyaltyscore]]&gt;=5,"Medium Value","Low Value"))</f>
        <v>High Value</v>
      </c>
      <c r="I100" s="4" t="s">
        <v>5</v>
      </c>
      <c r="J100" s="4">
        <v>24</v>
      </c>
    </row>
    <row r="101" spans="1:10" x14ac:dyDescent="0.35">
      <c r="A101" s="4">
        <v>100</v>
      </c>
      <c r="B101" s="4">
        <v>30</v>
      </c>
      <c r="C101" s="4" t="str">
        <f>IF(Table1[[#This Row],[age]]&lt;25,"18-24",IF(Table1[[#This Row],[age]]&lt;35,"25-34",IF(Table1[[#This Row],[age]]&lt;45,"35-44","45+")))</f>
        <v>25-34</v>
      </c>
      <c r="D101" s="5">
        <v>49000</v>
      </c>
      <c r="E101" s="5" t="str">
        <f>IF(Table1[[#This Row],[annual_income]]&lt;40000,"Low",IF(Table1[[#This Row],[annual_income]]&lt;60000,"Medium","High"))</f>
        <v>Medium</v>
      </c>
      <c r="F101" s="6">
        <v>300</v>
      </c>
      <c r="G101" s="4">
        <v>5</v>
      </c>
      <c r="H101" s="4" t="str">
        <f>IF(Table1[[#This Row],[loyaltyscore]]&gt;=8,"High Value",IF(Table1[[#This Row],[loyaltyscore]]&gt;=5,"Medium Value","Low Value"))</f>
        <v>Medium Value</v>
      </c>
      <c r="I101" s="4" t="s">
        <v>3</v>
      </c>
      <c r="J101" s="4">
        <v>16</v>
      </c>
    </row>
    <row r="102" spans="1:10" x14ac:dyDescent="0.35">
      <c r="A102" s="4">
        <v>101</v>
      </c>
      <c r="B102" s="4">
        <v>39</v>
      </c>
      <c r="C102" s="4" t="str">
        <f>IF(Table1[[#This Row],[age]]&lt;25,"18-24",IF(Table1[[#This Row],[age]]&lt;35,"25-34",IF(Table1[[#This Row],[age]]&lt;45,"35-44","45+")))</f>
        <v>35-44</v>
      </c>
      <c r="D102" s="5">
        <v>57000</v>
      </c>
      <c r="E102" s="5" t="str">
        <f>IF(Table1[[#This Row],[annual_income]]&lt;40000,"Low",IF(Table1[[#This Row],[annual_income]]&lt;60000,"Medium","High"))</f>
        <v>Medium</v>
      </c>
      <c r="F102" s="6">
        <v>440</v>
      </c>
      <c r="G102" s="4">
        <v>7</v>
      </c>
      <c r="H102" s="4" t="str">
        <f>IF(Table1[[#This Row],[loyaltyscore]]&gt;=8,"High Value",IF(Table1[[#This Row],[loyaltyscore]]&gt;=5,"Medium Value","Low Value"))</f>
        <v>Medium Value</v>
      </c>
      <c r="I102" s="4" t="s">
        <v>4</v>
      </c>
      <c r="J102" s="4">
        <v>21</v>
      </c>
    </row>
    <row r="103" spans="1:10" x14ac:dyDescent="0.35">
      <c r="A103" s="4">
        <v>102</v>
      </c>
      <c r="B103" s="4">
        <v>37</v>
      </c>
      <c r="C103" s="4" t="str">
        <f>IF(Table1[[#This Row],[age]]&lt;25,"18-24",IF(Table1[[#This Row],[age]]&lt;35,"25-34",IF(Table1[[#This Row],[age]]&lt;45,"35-44","45+")))</f>
        <v>35-44</v>
      </c>
      <c r="D103" s="5">
        <v>58000</v>
      </c>
      <c r="E103" s="5" t="str">
        <f>IF(Table1[[#This Row],[annual_income]]&lt;40000,"Low",IF(Table1[[#This Row],[annual_income]]&lt;60000,"Medium","High"))</f>
        <v>Medium</v>
      </c>
      <c r="F103" s="6">
        <v>420</v>
      </c>
      <c r="G103" s="4">
        <v>6.8</v>
      </c>
      <c r="H103" s="4" t="str">
        <f>IF(Table1[[#This Row],[loyaltyscore]]&gt;=8,"High Value",IF(Table1[[#This Row],[loyaltyscore]]&gt;=5,"Medium Value","Low Value"))</f>
        <v>Medium Value</v>
      </c>
      <c r="I103" s="4" t="s">
        <v>5</v>
      </c>
      <c r="J103" s="4">
        <v>20</v>
      </c>
    </row>
    <row r="104" spans="1:10" x14ac:dyDescent="0.35">
      <c r="A104" s="4">
        <v>103</v>
      </c>
      <c r="B104" s="4">
        <v>46</v>
      </c>
      <c r="C104" s="4" t="str">
        <f>IF(Table1[[#This Row],[age]]&lt;25,"18-24",IF(Table1[[#This Row],[age]]&lt;35,"25-34",IF(Table1[[#This Row],[age]]&lt;45,"35-44","45+")))</f>
        <v>45+</v>
      </c>
      <c r="D104" s="5">
        <v>66000</v>
      </c>
      <c r="E104" s="5" t="str">
        <f>IF(Table1[[#This Row],[annual_income]]&lt;40000,"Low",IF(Table1[[#This Row],[annual_income]]&lt;60000,"Medium","High"))</f>
        <v>High</v>
      </c>
      <c r="F104" s="6">
        <v>510</v>
      </c>
      <c r="G104" s="4">
        <v>8.1</v>
      </c>
      <c r="H104" s="4" t="str">
        <f>IF(Table1[[#This Row],[loyaltyscore]]&gt;=8,"High Value",IF(Table1[[#This Row],[loyaltyscore]]&gt;=5,"Medium Value","Low Value"))</f>
        <v>High Value</v>
      </c>
      <c r="I104" s="4" t="s">
        <v>3</v>
      </c>
      <c r="J104" s="4">
        <v>22</v>
      </c>
    </row>
    <row r="105" spans="1:10" x14ac:dyDescent="0.35">
      <c r="A105" s="4">
        <v>104</v>
      </c>
      <c r="B105" s="4">
        <v>33</v>
      </c>
      <c r="C105" s="4" t="str">
        <f>IF(Table1[[#This Row],[age]]&lt;25,"18-24",IF(Table1[[#This Row],[age]]&lt;35,"25-34",IF(Table1[[#This Row],[age]]&lt;45,"35-44","45+")))</f>
        <v>25-34</v>
      </c>
      <c r="D105" s="5">
        <v>53000</v>
      </c>
      <c r="E105" s="5" t="str">
        <f>IF(Table1[[#This Row],[annual_income]]&lt;40000,"Low",IF(Table1[[#This Row],[annual_income]]&lt;60000,"Medium","High"))</f>
        <v>Medium</v>
      </c>
      <c r="F105" s="6">
        <v>380</v>
      </c>
      <c r="G105" s="4">
        <v>6</v>
      </c>
      <c r="H105" s="4" t="str">
        <f>IF(Table1[[#This Row],[loyaltyscore]]&gt;=8,"High Value",IF(Table1[[#This Row],[loyaltyscore]]&gt;=5,"Medium Value","Low Value"))</f>
        <v>Medium Value</v>
      </c>
      <c r="I105" s="4" t="s">
        <v>4</v>
      </c>
      <c r="J105" s="4">
        <v>18</v>
      </c>
    </row>
    <row r="106" spans="1:10" x14ac:dyDescent="0.35">
      <c r="A106" s="4">
        <v>105</v>
      </c>
      <c r="B106" s="4">
        <v>52</v>
      </c>
      <c r="C106" s="4" t="str">
        <f>IF(Table1[[#This Row],[age]]&lt;25,"18-24",IF(Table1[[#This Row],[age]]&lt;35,"25-34",IF(Table1[[#This Row],[age]]&lt;45,"35-44","45+")))</f>
        <v>45+</v>
      </c>
      <c r="D106" s="5">
        <v>72000</v>
      </c>
      <c r="E106" s="5" t="str">
        <f>IF(Table1[[#This Row],[annual_income]]&lt;40000,"Low",IF(Table1[[#This Row],[annual_income]]&lt;60000,"Medium","High"))</f>
        <v>High</v>
      </c>
      <c r="F106" s="6">
        <v>610</v>
      </c>
      <c r="G106" s="4">
        <v>9.1999999999999993</v>
      </c>
      <c r="H106" s="4" t="str">
        <f>IF(Table1[[#This Row],[loyaltyscore]]&gt;=8,"High Value",IF(Table1[[#This Row],[loyaltyscore]]&gt;=5,"Medium Value","Low Value"))</f>
        <v>High Value</v>
      </c>
      <c r="I106" s="4" t="s">
        <v>5</v>
      </c>
      <c r="J106" s="4">
        <v>26</v>
      </c>
    </row>
    <row r="107" spans="1:10" x14ac:dyDescent="0.35">
      <c r="A107" s="4">
        <v>106</v>
      </c>
      <c r="B107" s="4">
        <v>28</v>
      </c>
      <c r="C107" s="4" t="str">
        <f>IF(Table1[[#This Row],[age]]&lt;25,"18-24",IF(Table1[[#This Row],[age]]&lt;35,"25-34",IF(Table1[[#This Row],[age]]&lt;45,"35-44","45+")))</f>
        <v>25-34</v>
      </c>
      <c r="D107" s="5">
        <v>46000</v>
      </c>
      <c r="E107" s="5" t="str">
        <f>IF(Table1[[#This Row],[annual_income]]&lt;40000,"Low",IF(Table1[[#This Row],[annual_income]]&lt;60000,"Medium","High"))</f>
        <v>Medium</v>
      </c>
      <c r="F107" s="6">
        <v>250</v>
      </c>
      <c r="G107" s="4">
        <v>4.2</v>
      </c>
      <c r="H107" s="4" t="str">
        <f>IF(Table1[[#This Row],[loyaltyscore]]&gt;=8,"High Value",IF(Table1[[#This Row],[loyaltyscore]]&gt;=5,"Medium Value","Low Value"))</f>
        <v>Low Value</v>
      </c>
      <c r="I107" s="4" t="s">
        <v>3</v>
      </c>
      <c r="J107" s="4">
        <v>14</v>
      </c>
    </row>
    <row r="108" spans="1:10" x14ac:dyDescent="0.35">
      <c r="A108" s="4">
        <v>107</v>
      </c>
      <c r="B108" s="4">
        <v>41</v>
      </c>
      <c r="C108" s="4" t="str">
        <f>IF(Table1[[#This Row],[age]]&lt;25,"18-24",IF(Table1[[#This Row],[age]]&lt;35,"25-34",IF(Table1[[#This Row],[age]]&lt;45,"35-44","45+")))</f>
        <v>35-44</v>
      </c>
      <c r="D108" s="5">
        <v>61000</v>
      </c>
      <c r="E108" s="5" t="str">
        <f>IF(Table1[[#This Row],[annual_income]]&lt;40000,"Low",IF(Table1[[#This Row],[annual_income]]&lt;60000,"Medium","High"))</f>
        <v>High</v>
      </c>
      <c r="F108" s="6">
        <v>480</v>
      </c>
      <c r="G108" s="4">
        <v>7.8</v>
      </c>
      <c r="H108" s="4" t="str">
        <f>IF(Table1[[#This Row],[loyaltyscore]]&gt;=8,"High Value",IF(Table1[[#This Row],[loyaltyscore]]&gt;=5,"Medium Value","Low Value"))</f>
        <v>Medium Value</v>
      </c>
      <c r="I108" s="4" t="s">
        <v>4</v>
      </c>
      <c r="J108" s="4">
        <v>21</v>
      </c>
    </row>
    <row r="109" spans="1:10" x14ac:dyDescent="0.35">
      <c r="A109" s="4">
        <v>108</v>
      </c>
      <c r="B109" s="4">
        <v>50</v>
      </c>
      <c r="C109" s="4" t="str">
        <f>IF(Table1[[#This Row],[age]]&lt;25,"18-24",IF(Table1[[#This Row],[age]]&lt;35,"25-34",IF(Table1[[#This Row],[age]]&lt;45,"35-44","45+")))</f>
        <v>45+</v>
      </c>
      <c r="D109" s="5">
        <v>70000</v>
      </c>
      <c r="E109" s="5" t="str">
        <f>IF(Table1[[#This Row],[annual_income]]&lt;40000,"Low",IF(Table1[[#This Row],[annual_income]]&lt;60000,"Medium","High"))</f>
        <v>High</v>
      </c>
      <c r="F109" s="6">
        <v>600</v>
      </c>
      <c r="G109" s="4">
        <v>9</v>
      </c>
      <c r="H109" s="4" t="str">
        <f>IF(Table1[[#This Row],[loyaltyscore]]&gt;=8,"High Value",IF(Table1[[#This Row],[loyaltyscore]]&gt;=5,"Medium Value","Low Value"))</f>
        <v>High Value</v>
      </c>
      <c r="I109" s="4" t="s">
        <v>5</v>
      </c>
      <c r="J109" s="4">
        <v>25</v>
      </c>
    </row>
    <row r="110" spans="1:10" x14ac:dyDescent="0.35">
      <c r="A110" s="4">
        <v>109</v>
      </c>
      <c r="B110" s="4">
        <v>36</v>
      </c>
      <c r="C110" s="4" t="str">
        <f>IF(Table1[[#This Row],[age]]&lt;25,"18-24",IF(Table1[[#This Row],[age]]&lt;35,"25-34",IF(Table1[[#This Row],[age]]&lt;45,"35-44","45+")))</f>
        <v>35-44</v>
      </c>
      <c r="D110" s="5">
        <v>54000</v>
      </c>
      <c r="E110" s="5" t="str">
        <f>IF(Table1[[#This Row],[annual_income]]&lt;40000,"Low",IF(Table1[[#This Row],[annual_income]]&lt;60000,"Medium","High"))</f>
        <v>Medium</v>
      </c>
      <c r="F110" s="6">
        <v>400</v>
      </c>
      <c r="G110" s="4">
        <v>6.5</v>
      </c>
      <c r="H110" s="4" t="str">
        <f>IF(Table1[[#This Row],[loyaltyscore]]&gt;=8,"High Value",IF(Table1[[#This Row],[loyaltyscore]]&gt;=5,"Medium Value","Low Value"))</f>
        <v>Medium Value</v>
      </c>
      <c r="I110" s="4" t="s">
        <v>3</v>
      </c>
      <c r="J110" s="4">
        <v>19</v>
      </c>
    </row>
    <row r="111" spans="1:10" x14ac:dyDescent="0.35">
      <c r="A111" s="4">
        <v>110</v>
      </c>
      <c r="B111" s="4">
        <v>24</v>
      </c>
      <c r="C111" s="4" t="str">
        <f>IF(Table1[[#This Row],[age]]&lt;25,"18-24",IF(Table1[[#This Row],[age]]&lt;35,"25-34",IF(Table1[[#This Row],[age]]&lt;45,"35-44","45+")))</f>
        <v>18-24</v>
      </c>
      <c r="D111" s="5">
        <v>32000</v>
      </c>
      <c r="E111" s="5" t="str">
        <f>IF(Table1[[#This Row],[annual_income]]&lt;40000,"Low",IF(Table1[[#This Row],[annual_income]]&lt;60000,"Medium","High"))</f>
        <v>Low</v>
      </c>
      <c r="F111" s="6">
        <v>170</v>
      </c>
      <c r="G111" s="4">
        <v>3.3</v>
      </c>
      <c r="H111" s="4" t="str">
        <f>IF(Table1[[#This Row],[loyaltyscore]]&gt;=8,"High Value",IF(Table1[[#This Row],[loyaltyscore]]&gt;=5,"Medium Value","Low Value"))</f>
        <v>Low Value</v>
      </c>
      <c r="I111" s="4" t="s">
        <v>4</v>
      </c>
      <c r="J111" s="4">
        <v>11</v>
      </c>
    </row>
    <row r="112" spans="1:10" x14ac:dyDescent="0.35">
      <c r="A112" s="4">
        <v>111</v>
      </c>
      <c r="B112" s="4">
        <v>49</v>
      </c>
      <c r="C112" s="4" t="str">
        <f>IF(Table1[[#This Row],[age]]&lt;25,"18-24",IF(Table1[[#This Row],[age]]&lt;35,"25-34",IF(Table1[[#This Row],[age]]&lt;45,"35-44","45+")))</f>
        <v>45+</v>
      </c>
      <c r="D112" s="5">
        <v>69000</v>
      </c>
      <c r="E112" s="5" t="str">
        <f>IF(Table1[[#This Row],[annual_income]]&lt;40000,"Low",IF(Table1[[#This Row],[annual_income]]&lt;60000,"Medium","High"))</f>
        <v>High</v>
      </c>
      <c r="F112" s="6">
        <v>590</v>
      </c>
      <c r="G112" s="4">
        <v>8.9</v>
      </c>
      <c r="H112" s="4" t="str">
        <f>IF(Table1[[#This Row],[loyaltyscore]]&gt;=8,"High Value",IF(Table1[[#This Row],[loyaltyscore]]&gt;=5,"Medium Value","Low Value"))</f>
        <v>High Value</v>
      </c>
      <c r="I112" s="4" t="s">
        <v>5</v>
      </c>
      <c r="J112" s="4">
        <v>24</v>
      </c>
    </row>
    <row r="113" spans="1:10" x14ac:dyDescent="0.35">
      <c r="A113" s="4">
        <v>112</v>
      </c>
      <c r="B113" s="4">
        <v>26</v>
      </c>
      <c r="C113" s="4" t="str">
        <f>IF(Table1[[#This Row],[age]]&lt;25,"18-24",IF(Table1[[#This Row],[age]]&lt;35,"25-34",IF(Table1[[#This Row],[age]]&lt;45,"35-44","45+")))</f>
        <v>25-34</v>
      </c>
      <c r="D113" s="5">
        <v>44000</v>
      </c>
      <c r="E113" s="5" t="str">
        <f>IF(Table1[[#This Row],[annual_income]]&lt;40000,"Low",IF(Table1[[#This Row],[annual_income]]&lt;60000,"Medium","High"))</f>
        <v>Medium</v>
      </c>
      <c r="F113" s="6">
        <v>240</v>
      </c>
      <c r="G113" s="4">
        <v>4.3</v>
      </c>
      <c r="H113" s="4" t="str">
        <f>IF(Table1[[#This Row],[loyaltyscore]]&gt;=8,"High Value",IF(Table1[[#This Row],[loyaltyscore]]&gt;=5,"Medium Value","Low Value"))</f>
        <v>Low Value</v>
      </c>
      <c r="I113" s="4" t="s">
        <v>3</v>
      </c>
      <c r="J113" s="4">
        <v>14</v>
      </c>
    </row>
    <row r="114" spans="1:10" x14ac:dyDescent="0.35">
      <c r="A114" s="4">
        <v>113</v>
      </c>
      <c r="B114" s="4">
        <v>45</v>
      </c>
      <c r="C114" s="4" t="str">
        <f>IF(Table1[[#This Row],[age]]&lt;25,"18-24",IF(Table1[[#This Row],[age]]&lt;35,"25-34",IF(Table1[[#This Row],[age]]&lt;45,"35-44","45+")))</f>
        <v>45+</v>
      </c>
      <c r="D114" s="5">
        <v>65000</v>
      </c>
      <c r="E114" s="5" t="str">
        <f>IF(Table1[[#This Row],[annual_income]]&lt;40000,"Low",IF(Table1[[#This Row],[annual_income]]&lt;60000,"Medium","High"))</f>
        <v>High</v>
      </c>
      <c r="F114" s="6">
        <v>500</v>
      </c>
      <c r="G114" s="4">
        <v>8</v>
      </c>
      <c r="H114" s="4" t="str">
        <f>IF(Table1[[#This Row],[loyaltyscore]]&gt;=8,"High Value",IF(Table1[[#This Row],[loyaltyscore]]&gt;=5,"Medium Value","Low Value"))</f>
        <v>High Value</v>
      </c>
      <c r="I114" s="4" t="s">
        <v>4</v>
      </c>
      <c r="J114" s="4">
        <v>22</v>
      </c>
    </row>
    <row r="115" spans="1:10" x14ac:dyDescent="0.35">
      <c r="A115" s="4">
        <v>114</v>
      </c>
      <c r="B115" s="4">
        <v>40</v>
      </c>
      <c r="C115" s="4" t="str">
        <f>IF(Table1[[#This Row],[age]]&lt;25,"18-24",IF(Table1[[#This Row],[age]]&lt;35,"25-34",IF(Table1[[#This Row],[age]]&lt;45,"35-44","45+")))</f>
        <v>35-44</v>
      </c>
      <c r="D115" s="5">
        <v>60000</v>
      </c>
      <c r="E115" s="5" t="str">
        <f>IF(Table1[[#This Row],[annual_income]]&lt;40000,"Low",IF(Table1[[#This Row],[annual_income]]&lt;60000,"Medium","High"))</f>
        <v>High</v>
      </c>
      <c r="F115" s="6">
        <v>450</v>
      </c>
      <c r="G115" s="4">
        <v>7.2</v>
      </c>
      <c r="H115" s="4" t="str">
        <f>IF(Table1[[#This Row],[loyaltyscore]]&gt;=8,"High Value",IF(Table1[[#This Row],[loyaltyscore]]&gt;=5,"Medium Value","Low Value"))</f>
        <v>Medium Value</v>
      </c>
      <c r="I115" s="4" t="s">
        <v>5</v>
      </c>
      <c r="J115" s="4">
        <v>20</v>
      </c>
    </row>
    <row r="116" spans="1:10" x14ac:dyDescent="0.35">
      <c r="A116" s="4">
        <v>115</v>
      </c>
      <c r="B116" s="4">
        <v>38</v>
      </c>
      <c r="C116" s="4" t="str">
        <f>IF(Table1[[#This Row],[age]]&lt;25,"18-24",IF(Table1[[#This Row],[age]]&lt;35,"25-34",IF(Table1[[#This Row],[age]]&lt;45,"35-44","45+")))</f>
        <v>35-44</v>
      </c>
      <c r="D116" s="5">
        <v>59000</v>
      </c>
      <c r="E116" s="5" t="str">
        <f>IF(Table1[[#This Row],[annual_income]]&lt;40000,"Low",IF(Table1[[#This Row],[annual_income]]&lt;60000,"Medium","High"))</f>
        <v>Medium</v>
      </c>
      <c r="F116" s="6">
        <v>430</v>
      </c>
      <c r="G116" s="4">
        <v>6.9</v>
      </c>
      <c r="H116" s="4" t="str">
        <f>IF(Table1[[#This Row],[loyaltyscore]]&gt;=8,"High Value",IF(Table1[[#This Row],[loyaltyscore]]&gt;=5,"Medium Value","Low Value"))</f>
        <v>Medium Value</v>
      </c>
      <c r="I116" s="4" t="s">
        <v>3</v>
      </c>
      <c r="J116" s="4">
        <v>20</v>
      </c>
    </row>
    <row r="117" spans="1:10" x14ac:dyDescent="0.35">
      <c r="A117" s="4">
        <v>116</v>
      </c>
      <c r="B117" s="4">
        <v>54</v>
      </c>
      <c r="C117" s="4" t="str">
        <f>IF(Table1[[#This Row],[age]]&lt;25,"18-24",IF(Table1[[#This Row],[age]]&lt;35,"25-34",IF(Table1[[#This Row],[age]]&lt;45,"35-44","45+")))</f>
        <v>45+</v>
      </c>
      <c r="D117" s="5">
        <v>74000</v>
      </c>
      <c r="E117" s="5" t="str">
        <f>IF(Table1[[#This Row],[annual_income]]&lt;40000,"Low",IF(Table1[[#This Row],[annual_income]]&lt;60000,"Medium","High"))</f>
        <v>High</v>
      </c>
      <c r="F117" s="6">
        <v>630</v>
      </c>
      <c r="G117" s="4">
        <v>9.4</v>
      </c>
      <c r="H117" s="4" t="str">
        <f>IF(Table1[[#This Row],[loyaltyscore]]&gt;=8,"High Value",IF(Table1[[#This Row],[loyaltyscore]]&gt;=5,"Medium Value","Low Value"))</f>
        <v>High Value</v>
      </c>
      <c r="I117" s="4" t="s">
        <v>4</v>
      </c>
      <c r="J117" s="4">
        <v>27</v>
      </c>
    </row>
    <row r="118" spans="1:10" x14ac:dyDescent="0.35">
      <c r="A118" s="4">
        <v>117</v>
      </c>
      <c r="B118" s="4">
        <v>32</v>
      </c>
      <c r="C118" s="4" t="str">
        <f>IF(Table1[[#This Row],[age]]&lt;25,"18-24",IF(Table1[[#This Row],[age]]&lt;35,"25-34",IF(Table1[[#This Row],[age]]&lt;45,"35-44","45+")))</f>
        <v>25-34</v>
      </c>
      <c r="D118" s="5">
        <v>52000</v>
      </c>
      <c r="E118" s="5" t="str">
        <f>IF(Table1[[#This Row],[annual_income]]&lt;40000,"Low",IF(Table1[[#This Row],[annual_income]]&lt;60000,"Medium","High"))</f>
        <v>Medium</v>
      </c>
      <c r="F118" s="6">
        <v>360</v>
      </c>
      <c r="G118" s="4">
        <v>5.8</v>
      </c>
      <c r="H118" s="4" t="str">
        <f>IF(Table1[[#This Row],[loyaltyscore]]&gt;=8,"High Value",IF(Table1[[#This Row],[loyaltyscore]]&gt;=5,"Medium Value","Low Value"))</f>
        <v>Medium Value</v>
      </c>
      <c r="I118" s="4" t="s">
        <v>5</v>
      </c>
      <c r="J118" s="4">
        <v>18</v>
      </c>
    </row>
    <row r="119" spans="1:10" x14ac:dyDescent="0.35">
      <c r="A119" s="4">
        <v>118</v>
      </c>
      <c r="B119" s="4">
        <v>31</v>
      </c>
      <c r="C119" s="4" t="str">
        <f>IF(Table1[[#This Row],[age]]&lt;25,"18-24",IF(Table1[[#This Row],[age]]&lt;35,"25-34",IF(Table1[[#This Row],[age]]&lt;45,"35-44","45+")))</f>
        <v>25-34</v>
      </c>
      <c r="D119" s="5">
        <v>51000</v>
      </c>
      <c r="E119" s="5" t="str">
        <f>IF(Table1[[#This Row],[annual_income]]&lt;40000,"Low",IF(Table1[[#This Row],[annual_income]]&lt;60000,"Medium","High"))</f>
        <v>Medium</v>
      </c>
      <c r="F119" s="6">
        <v>340</v>
      </c>
      <c r="G119" s="4">
        <v>5.6</v>
      </c>
      <c r="H119" s="4" t="str">
        <f>IF(Table1[[#This Row],[loyaltyscore]]&gt;=8,"High Value",IF(Table1[[#This Row],[loyaltyscore]]&gt;=5,"Medium Value","Low Value"))</f>
        <v>Medium Value</v>
      </c>
      <c r="I119" s="4" t="s">
        <v>3</v>
      </c>
      <c r="J119" s="4">
        <v>17</v>
      </c>
    </row>
    <row r="120" spans="1:10" x14ac:dyDescent="0.35">
      <c r="A120" s="4">
        <v>119</v>
      </c>
      <c r="B120" s="4">
        <v>42</v>
      </c>
      <c r="C120" s="4" t="str">
        <f>IF(Table1[[#This Row],[age]]&lt;25,"18-24",IF(Table1[[#This Row],[age]]&lt;35,"25-34",IF(Table1[[#This Row],[age]]&lt;45,"35-44","45+")))</f>
        <v>35-44</v>
      </c>
      <c r="D120" s="5">
        <v>62000</v>
      </c>
      <c r="E120" s="5" t="str">
        <f>IF(Table1[[#This Row],[annual_income]]&lt;40000,"Low",IF(Table1[[#This Row],[annual_income]]&lt;60000,"Medium","High"))</f>
        <v>High</v>
      </c>
      <c r="F120" s="6">
        <v>520</v>
      </c>
      <c r="G120" s="4">
        <v>8.1999999999999993</v>
      </c>
      <c r="H120" s="4" t="str">
        <f>IF(Table1[[#This Row],[loyaltyscore]]&gt;=8,"High Value",IF(Table1[[#This Row],[loyaltyscore]]&gt;=5,"Medium Value","Low Value"))</f>
        <v>High Value</v>
      </c>
      <c r="I120" s="4" t="s">
        <v>4</v>
      </c>
      <c r="J120" s="4">
        <v>23</v>
      </c>
    </row>
    <row r="121" spans="1:10" x14ac:dyDescent="0.35">
      <c r="A121" s="4">
        <v>120</v>
      </c>
      <c r="B121" s="4">
        <v>55</v>
      </c>
      <c r="C121" s="4" t="str">
        <f>IF(Table1[[#This Row],[age]]&lt;25,"18-24",IF(Table1[[#This Row],[age]]&lt;35,"25-34",IF(Table1[[#This Row],[age]]&lt;45,"35-44","45+")))</f>
        <v>45+</v>
      </c>
      <c r="D121" s="5">
        <v>75000</v>
      </c>
      <c r="E121" s="5" t="str">
        <f>IF(Table1[[#This Row],[annual_income]]&lt;40000,"Low",IF(Table1[[#This Row],[annual_income]]&lt;60000,"Medium","High"))</f>
        <v>High</v>
      </c>
      <c r="F121" s="6">
        <v>640</v>
      </c>
      <c r="G121" s="4">
        <v>9.5</v>
      </c>
      <c r="H121" s="4" t="str">
        <f>IF(Table1[[#This Row],[loyaltyscore]]&gt;=8,"High Value",IF(Table1[[#This Row],[loyaltyscore]]&gt;=5,"Medium Value","Low Value"))</f>
        <v>High Value</v>
      </c>
      <c r="I121" s="4" t="s">
        <v>5</v>
      </c>
      <c r="J121" s="4">
        <v>28</v>
      </c>
    </row>
    <row r="122" spans="1:10" x14ac:dyDescent="0.35">
      <c r="A122" s="4">
        <v>121</v>
      </c>
      <c r="B122" s="4">
        <v>29</v>
      </c>
      <c r="C122" s="4" t="str">
        <f>IF(Table1[[#This Row],[age]]&lt;25,"18-24",IF(Table1[[#This Row],[age]]&lt;35,"25-34",IF(Table1[[#This Row],[age]]&lt;45,"35-44","45+")))</f>
        <v>25-34</v>
      </c>
      <c r="D122" s="5">
        <v>46000</v>
      </c>
      <c r="E122" s="5" t="str">
        <f>IF(Table1[[#This Row],[annual_income]]&lt;40000,"Low",IF(Table1[[#This Row],[annual_income]]&lt;60000,"Medium","High"))</f>
        <v>Medium</v>
      </c>
      <c r="F122" s="6">
        <v>270</v>
      </c>
      <c r="G122" s="4">
        <v>4.3</v>
      </c>
      <c r="H122" s="4" t="str">
        <f>IF(Table1[[#This Row],[loyaltyscore]]&gt;=8,"High Value",IF(Table1[[#This Row],[loyaltyscore]]&gt;=5,"Medium Value","Low Value"))</f>
        <v>Low Value</v>
      </c>
      <c r="I122" s="4" t="s">
        <v>3</v>
      </c>
      <c r="J122" s="4">
        <v>15</v>
      </c>
    </row>
    <row r="123" spans="1:10" x14ac:dyDescent="0.35">
      <c r="A123" s="4">
        <v>122</v>
      </c>
      <c r="B123" s="4">
        <v>33</v>
      </c>
      <c r="C123" s="4" t="str">
        <f>IF(Table1[[#This Row],[age]]&lt;25,"18-24",IF(Table1[[#This Row],[age]]&lt;35,"25-34",IF(Table1[[#This Row],[age]]&lt;45,"35-44","45+")))</f>
        <v>25-34</v>
      </c>
      <c r="D123" s="5">
        <v>53000</v>
      </c>
      <c r="E123" s="5" t="str">
        <f>IF(Table1[[#This Row],[annual_income]]&lt;40000,"Low",IF(Table1[[#This Row],[annual_income]]&lt;60000,"Medium","High"))</f>
        <v>Medium</v>
      </c>
      <c r="F123" s="6">
        <v>380</v>
      </c>
      <c r="G123" s="4">
        <v>6</v>
      </c>
      <c r="H123" s="4" t="str">
        <f>IF(Table1[[#This Row],[loyaltyscore]]&gt;=8,"High Value",IF(Table1[[#This Row],[loyaltyscore]]&gt;=5,"Medium Value","Low Value"))</f>
        <v>Medium Value</v>
      </c>
      <c r="I123" s="4" t="s">
        <v>4</v>
      </c>
      <c r="J123" s="4">
        <v>18</v>
      </c>
    </row>
    <row r="124" spans="1:10" x14ac:dyDescent="0.35">
      <c r="A124" s="4">
        <v>123</v>
      </c>
      <c r="B124" s="4">
        <v>51</v>
      </c>
      <c r="C124" s="4" t="str">
        <f>IF(Table1[[#This Row],[age]]&lt;25,"18-24",IF(Table1[[#This Row],[age]]&lt;35,"25-34",IF(Table1[[#This Row],[age]]&lt;45,"35-44","45+")))</f>
        <v>45+</v>
      </c>
      <c r="D124" s="5">
        <v>71000</v>
      </c>
      <c r="E124" s="5" t="str">
        <f>IF(Table1[[#This Row],[annual_income]]&lt;40000,"Low",IF(Table1[[#This Row],[annual_income]]&lt;60000,"Medium","High"))</f>
        <v>High</v>
      </c>
      <c r="F124" s="6">
        <v>600</v>
      </c>
      <c r="G124" s="4">
        <v>9</v>
      </c>
      <c r="H124" s="4" t="str">
        <f>IF(Table1[[#This Row],[loyaltyscore]]&gt;=8,"High Value",IF(Table1[[#This Row],[loyaltyscore]]&gt;=5,"Medium Value","Low Value"))</f>
        <v>High Value</v>
      </c>
      <c r="I124" s="4" t="s">
        <v>5</v>
      </c>
      <c r="J124" s="4">
        <v>25</v>
      </c>
    </row>
    <row r="125" spans="1:10" x14ac:dyDescent="0.35">
      <c r="A125" s="4">
        <v>124</v>
      </c>
      <c r="B125" s="4">
        <v>27</v>
      </c>
      <c r="C125" s="4" t="str">
        <f>IF(Table1[[#This Row],[age]]&lt;25,"18-24",IF(Table1[[#This Row],[age]]&lt;35,"25-34",IF(Table1[[#This Row],[age]]&lt;45,"35-44","45+")))</f>
        <v>25-34</v>
      </c>
      <c r="D125" s="5">
        <v>43000</v>
      </c>
      <c r="E125" s="5" t="str">
        <f>IF(Table1[[#This Row],[annual_income]]&lt;40000,"Low",IF(Table1[[#This Row],[annual_income]]&lt;60000,"Medium","High"))</f>
        <v>Medium</v>
      </c>
      <c r="F125" s="6">
        <v>230</v>
      </c>
      <c r="G125" s="4">
        <v>4</v>
      </c>
      <c r="H125" s="4" t="str">
        <f>IF(Table1[[#This Row],[loyaltyscore]]&gt;=8,"High Value",IF(Table1[[#This Row],[loyaltyscore]]&gt;=5,"Medium Value","Low Value"))</f>
        <v>Low Value</v>
      </c>
      <c r="I125" s="4" t="s">
        <v>3</v>
      </c>
      <c r="J125" s="4">
        <v>14</v>
      </c>
    </row>
    <row r="126" spans="1:10" x14ac:dyDescent="0.35">
      <c r="A126" s="4">
        <v>125</v>
      </c>
      <c r="B126" s="4">
        <v>43</v>
      </c>
      <c r="C126" s="4" t="str">
        <f>IF(Table1[[#This Row],[age]]&lt;25,"18-24",IF(Table1[[#This Row],[age]]&lt;35,"25-34",IF(Table1[[#This Row],[age]]&lt;45,"35-44","45+")))</f>
        <v>35-44</v>
      </c>
      <c r="D126" s="5">
        <v>63000</v>
      </c>
      <c r="E126" s="5" t="str">
        <f>IF(Table1[[#This Row],[annual_income]]&lt;40000,"Low",IF(Table1[[#This Row],[annual_income]]&lt;60000,"Medium","High"))</f>
        <v>High</v>
      </c>
      <c r="F126" s="6">
        <v>470</v>
      </c>
      <c r="G126" s="4">
        <v>7.8</v>
      </c>
      <c r="H126" s="4" t="str">
        <f>IF(Table1[[#This Row],[loyaltyscore]]&gt;=8,"High Value",IF(Table1[[#This Row],[loyaltyscore]]&gt;=5,"Medium Value","Low Value"))</f>
        <v>Medium Value</v>
      </c>
      <c r="I126" s="4" t="s">
        <v>4</v>
      </c>
      <c r="J126" s="4">
        <v>21</v>
      </c>
    </row>
    <row r="127" spans="1:10" x14ac:dyDescent="0.35">
      <c r="A127" s="4">
        <v>126</v>
      </c>
      <c r="B127" s="4">
        <v>41</v>
      </c>
      <c r="C127" s="4" t="str">
        <f>IF(Table1[[#This Row],[age]]&lt;25,"18-24",IF(Table1[[#This Row],[age]]&lt;35,"25-34",IF(Table1[[#This Row],[age]]&lt;45,"35-44","45+")))</f>
        <v>35-44</v>
      </c>
      <c r="D127" s="5">
        <v>61000</v>
      </c>
      <c r="E127" s="5" t="str">
        <f>IF(Table1[[#This Row],[annual_income]]&lt;40000,"Low",IF(Table1[[#This Row],[annual_income]]&lt;60000,"Medium","High"))</f>
        <v>High</v>
      </c>
      <c r="F127" s="6">
        <v>480</v>
      </c>
      <c r="G127" s="4">
        <v>7.7</v>
      </c>
      <c r="H127" s="4" t="str">
        <f>IF(Table1[[#This Row],[loyaltyscore]]&gt;=8,"High Value",IF(Table1[[#This Row],[loyaltyscore]]&gt;=5,"Medium Value","Low Value"))</f>
        <v>Medium Value</v>
      </c>
      <c r="I127" s="4" t="s">
        <v>5</v>
      </c>
      <c r="J127" s="4">
        <v>22</v>
      </c>
    </row>
    <row r="128" spans="1:10" x14ac:dyDescent="0.35">
      <c r="A128" s="4">
        <v>127</v>
      </c>
      <c r="B128" s="4">
        <v>50</v>
      </c>
      <c r="C128" s="4" t="str">
        <f>IF(Table1[[#This Row],[age]]&lt;25,"18-24",IF(Table1[[#This Row],[age]]&lt;35,"25-34",IF(Table1[[#This Row],[age]]&lt;45,"35-44","45+")))</f>
        <v>45+</v>
      </c>
      <c r="D128" s="5">
        <v>70000</v>
      </c>
      <c r="E128" s="5" t="str">
        <f>IF(Table1[[#This Row],[annual_income]]&lt;40000,"Low",IF(Table1[[#This Row],[annual_income]]&lt;60000,"Medium","High"))</f>
        <v>High</v>
      </c>
      <c r="F128" s="6">
        <v>600</v>
      </c>
      <c r="G128" s="4">
        <v>9</v>
      </c>
      <c r="H128" s="4" t="str">
        <f>IF(Table1[[#This Row],[loyaltyscore]]&gt;=8,"High Value",IF(Table1[[#This Row],[loyaltyscore]]&gt;=5,"Medium Value","Low Value"))</f>
        <v>High Value</v>
      </c>
      <c r="I128" s="4" t="s">
        <v>3</v>
      </c>
      <c r="J128" s="4">
        <v>25</v>
      </c>
    </row>
    <row r="129" spans="1:10" x14ac:dyDescent="0.35">
      <c r="A129" s="4">
        <v>128</v>
      </c>
      <c r="B129" s="4">
        <v>24</v>
      </c>
      <c r="C129" s="4" t="str">
        <f>IF(Table1[[#This Row],[age]]&lt;25,"18-24",IF(Table1[[#This Row],[age]]&lt;35,"25-34",IF(Table1[[#This Row],[age]]&lt;45,"35-44","45+")))</f>
        <v>18-24</v>
      </c>
      <c r="D129" s="5">
        <v>32000</v>
      </c>
      <c r="E129" s="5" t="str">
        <f>IF(Table1[[#This Row],[annual_income]]&lt;40000,"Low",IF(Table1[[#This Row],[annual_income]]&lt;60000,"Medium","High"))</f>
        <v>Low</v>
      </c>
      <c r="F129" s="6">
        <v>170</v>
      </c>
      <c r="G129" s="4">
        <v>3.3</v>
      </c>
      <c r="H129" s="4" t="str">
        <f>IF(Table1[[#This Row],[loyaltyscore]]&gt;=8,"High Value",IF(Table1[[#This Row],[loyaltyscore]]&gt;=5,"Medium Value","Low Value"))</f>
        <v>Low Value</v>
      </c>
      <c r="I129" s="4" t="s">
        <v>4</v>
      </c>
      <c r="J129" s="4">
        <v>11</v>
      </c>
    </row>
    <row r="130" spans="1:10" x14ac:dyDescent="0.35">
      <c r="A130" s="4">
        <v>129</v>
      </c>
      <c r="B130" s="4">
        <v>48</v>
      </c>
      <c r="C130" s="4" t="str">
        <f>IF(Table1[[#This Row],[age]]&lt;25,"18-24",IF(Table1[[#This Row],[age]]&lt;35,"25-34",IF(Table1[[#This Row],[age]]&lt;45,"35-44","45+")))</f>
        <v>45+</v>
      </c>
      <c r="D130" s="5">
        <v>68000</v>
      </c>
      <c r="E130" s="5" t="str">
        <f>IF(Table1[[#This Row],[annual_income]]&lt;40000,"Low",IF(Table1[[#This Row],[annual_income]]&lt;60000,"Medium","High"))</f>
        <v>High</v>
      </c>
      <c r="F130" s="6">
        <v>550</v>
      </c>
      <c r="G130" s="4">
        <v>8.5</v>
      </c>
      <c r="H130" s="4" t="str">
        <f>IF(Table1[[#This Row],[loyaltyscore]]&gt;=8,"High Value",IF(Table1[[#This Row],[loyaltyscore]]&gt;=5,"Medium Value","Low Value"))</f>
        <v>High Value</v>
      </c>
      <c r="I130" s="4" t="s">
        <v>5</v>
      </c>
      <c r="J130" s="4">
        <v>24</v>
      </c>
    </row>
    <row r="131" spans="1:10" x14ac:dyDescent="0.35">
      <c r="A131" s="4">
        <v>130</v>
      </c>
      <c r="B131" s="4">
        <v>30</v>
      </c>
      <c r="C131" s="4" t="str">
        <f>IF(Table1[[#This Row],[age]]&lt;25,"18-24",IF(Table1[[#This Row],[age]]&lt;35,"25-34",IF(Table1[[#This Row],[age]]&lt;45,"35-44","45+")))</f>
        <v>25-34</v>
      </c>
      <c r="D131" s="5">
        <v>49000</v>
      </c>
      <c r="E131" s="5" t="str">
        <f>IF(Table1[[#This Row],[annual_income]]&lt;40000,"Low",IF(Table1[[#This Row],[annual_income]]&lt;60000,"Medium","High"))</f>
        <v>Medium</v>
      </c>
      <c r="F131" s="6">
        <v>300</v>
      </c>
      <c r="G131" s="4">
        <v>5</v>
      </c>
      <c r="H131" s="4" t="str">
        <f>IF(Table1[[#This Row],[loyaltyscore]]&gt;=8,"High Value",IF(Table1[[#This Row],[loyaltyscore]]&gt;=5,"Medium Value","Low Value"))</f>
        <v>Medium Value</v>
      </c>
      <c r="I131" s="4" t="s">
        <v>3</v>
      </c>
      <c r="J131" s="4">
        <v>16</v>
      </c>
    </row>
    <row r="132" spans="1:10" x14ac:dyDescent="0.35">
      <c r="A132" s="4">
        <v>131</v>
      </c>
      <c r="B132" s="4">
        <v>39</v>
      </c>
      <c r="C132" s="4" t="str">
        <f>IF(Table1[[#This Row],[age]]&lt;25,"18-24",IF(Table1[[#This Row],[age]]&lt;35,"25-34",IF(Table1[[#This Row],[age]]&lt;45,"35-44","45+")))</f>
        <v>35-44</v>
      </c>
      <c r="D132" s="5">
        <v>57000</v>
      </c>
      <c r="E132" s="5" t="str">
        <f>IF(Table1[[#This Row],[annual_income]]&lt;40000,"Low",IF(Table1[[#This Row],[annual_income]]&lt;60000,"Medium","High"))</f>
        <v>Medium</v>
      </c>
      <c r="F132" s="6">
        <v>440</v>
      </c>
      <c r="G132" s="4">
        <v>7</v>
      </c>
      <c r="H132" s="4" t="str">
        <f>IF(Table1[[#This Row],[loyaltyscore]]&gt;=8,"High Value",IF(Table1[[#This Row],[loyaltyscore]]&gt;=5,"Medium Value","Low Value"))</f>
        <v>Medium Value</v>
      </c>
      <c r="I132" s="4" t="s">
        <v>4</v>
      </c>
      <c r="J132" s="4">
        <v>21</v>
      </c>
    </row>
    <row r="133" spans="1:10" x14ac:dyDescent="0.35">
      <c r="A133" s="4">
        <v>132</v>
      </c>
      <c r="B133" s="4">
        <v>37</v>
      </c>
      <c r="C133" s="4" t="str">
        <f>IF(Table1[[#This Row],[age]]&lt;25,"18-24",IF(Table1[[#This Row],[age]]&lt;35,"25-34",IF(Table1[[#This Row],[age]]&lt;45,"35-44","45+")))</f>
        <v>35-44</v>
      </c>
      <c r="D133" s="5">
        <v>58000</v>
      </c>
      <c r="E133" s="5" t="str">
        <f>IF(Table1[[#This Row],[annual_income]]&lt;40000,"Low",IF(Table1[[#This Row],[annual_income]]&lt;60000,"Medium","High"))</f>
        <v>Medium</v>
      </c>
      <c r="F133" s="6">
        <v>420</v>
      </c>
      <c r="G133" s="4">
        <v>6.8</v>
      </c>
      <c r="H133" s="4" t="str">
        <f>IF(Table1[[#This Row],[loyaltyscore]]&gt;=8,"High Value",IF(Table1[[#This Row],[loyaltyscore]]&gt;=5,"Medium Value","Low Value"))</f>
        <v>Medium Value</v>
      </c>
      <c r="I133" s="4" t="s">
        <v>5</v>
      </c>
      <c r="J133" s="4">
        <v>20</v>
      </c>
    </row>
    <row r="134" spans="1:10" x14ac:dyDescent="0.35">
      <c r="A134" s="4">
        <v>133</v>
      </c>
      <c r="B134" s="4">
        <v>46</v>
      </c>
      <c r="C134" s="4" t="str">
        <f>IF(Table1[[#This Row],[age]]&lt;25,"18-24",IF(Table1[[#This Row],[age]]&lt;35,"25-34",IF(Table1[[#This Row],[age]]&lt;45,"35-44","45+")))</f>
        <v>45+</v>
      </c>
      <c r="D134" s="5">
        <v>66000</v>
      </c>
      <c r="E134" s="5" t="str">
        <f>IF(Table1[[#This Row],[annual_income]]&lt;40000,"Low",IF(Table1[[#This Row],[annual_income]]&lt;60000,"Medium","High"))</f>
        <v>High</v>
      </c>
      <c r="F134" s="6">
        <v>510</v>
      </c>
      <c r="G134" s="4">
        <v>8.1</v>
      </c>
      <c r="H134" s="4" t="str">
        <f>IF(Table1[[#This Row],[loyaltyscore]]&gt;=8,"High Value",IF(Table1[[#This Row],[loyaltyscore]]&gt;=5,"Medium Value","Low Value"))</f>
        <v>High Value</v>
      </c>
      <c r="I134" s="4" t="s">
        <v>3</v>
      </c>
      <c r="J134" s="4">
        <v>22</v>
      </c>
    </row>
    <row r="135" spans="1:10" x14ac:dyDescent="0.35">
      <c r="A135" s="4">
        <v>134</v>
      </c>
      <c r="B135" s="4">
        <v>33</v>
      </c>
      <c r="C135" s="4" t="str">
        <f>IF(Table1[[#This Row],[age]]&lt;25,"18-24",IF(Table1[[#This Row],[age]]&lt;35,"25-34",IF(Table1[[#This Row],[age]]&lt;45,"35-44","45+")))</f>
        <v>25-34</v>
      </c>
      <c r="D135" s="5">
        <v>53000</v>
      </c>
      <c r="E135" s="5" t="str">
        <f>IF(Table1[[#This Row],[annual_income]]&lt;40000,"Low",IF(Table1[[#This Row],[annual_income]]&lt;60000,"Medium","High"))</f>
        <v>Medium</v>
      </c>
      <c r="F135" s="6">
        <v>380</v>
      </c>
      <c r="G135" s="4">
        <v>6</v>
      </c>
      <c r="H135" s="4" t="str">
        <f>IF(Table1[[#This Row],[loyaltyscore]]&gt;=8,"High Value",IF(Table1[[#This Row],[loyaltyscore]]&gt;=5,"Medium Value","Low Value"))</f>
        <v>Medium Value</v>
      </c>
      <c r="I135" s="4" t="s">
        <v>4</v>
      </c>
      <c r="J135" s="4">
        <v>18</v>
      </c>
    </row>
    <row r="136" spans="1:10" x14ac:dyDescent="0.35">
      <c r="A136" s="4">
        <v>135</v>
      </c>
      <c r="B136" s="4">
        <v>52</v>
      </c>
      <c r="C136" s="4" t="str">
        <f>IF(Table1[[#This Row],[age]]&lt;25,"18-24",IF(Table1[[#This Row],[age]]&lt;35,"25-34",IF(Table1[[#This Row],[age]]&lt;45,"35-44","45+")))</f>
        <v>45+</v>
      </c>
      <c r="D136" s="5">
        <v>72000</v>
      </c>
      <c r="E136" s="5" t="str">
        <f>IF(Table1[[#This Row],[annual_income]]&lt;40000,"Low",IF(Table1[[#This Row],[annual_income]]&lt;60000,"Medium","High"))</f>
        <v>High</v>
      </c>
      <c r="F136" s="6">
        <v>610</v>
      </c>
      <c r="G136" s="4">
        <v>9.1999999999999993</v>
      </c>
      <c r="H136" s="4" t="str">
        <f>IF(Table1[[#This Row],[loyaltyscore]]&gt;=8,"High Value",IF(Table1[[#This Row],[loyaltyscore]]&gt;=5,"Medium Value","Low Value"))</f>
        <v>High Value</v>
      </c>
      <c r="I136" s="4" t="s">
        <v>5</v>
      </c>
      <c r="J136" s="4">
        <v>26</v>
      </c>
    </row>
    <row r="137" spans="1:10" x14ac:dyDescent="0.35">
      <c r="A137" s="4">
        <v>136</v>
      </c>
      <c r="B137" s="4">
        <v>28</v>
      </c>
      <c r="C137" s="4" t="str">
        <f>IF(Table1[[#This Row],[age]]&lt;25,"18-24",IF(Table1[[#This Row],[age]]&lt;35,"25-34",IF(Table1[[#This Row],[age]]&lt;45,"35-44","45+")))</f>
        <v>25-34</v>
      </c>
      <c r="D137" s="5">
        <v>46000</v>
      </c>
      <c r="E137" s="5" t="str">
        <f>IF(Table1[[#This Row],[annual_income]]&lt;40000,"Low",IF(Table1[[#This Row],[annual_income]]&lt;60000,"Medium","High"))</f>
        <v>Medium</v>
      </c>
      <c r="F137" s="6">
        <v>250</v>
      </c>
      <c r="G137" s="4">
        <v>4.2</v>
      </c>
      <c r="H137" s="4" t="str">
        <f>IF(Table1[[#This Row],[loyaltyscore]]&gt;=8,"High Value",IF(Table1[[#This Row],[loyaltyscore]]&gt;=5,"Medium Value","Low Value"))</f>
        <v>Low Value</v>
      </c>
      <c r="I137" s="4" t="s">
        <v>3</v>
      </c>
      <c r="J137" s="4">
        <v>14</v>
      </c>
    </row>
    <row r="138" spans="1:10" x14ac:dyDescent="0.35">
      <c r="A138" s="4">
        <v>137</v>
      </c>
      <c r="B138" s="4">
        <v>41</v>
      </c>
      <c r="C138" s="4" t="str">
        <f>IF(Table1[[#This Row],[age]]&lt;25,"18-24",IF(Table1[[#This Row],[age]]&lt;35,"25-34",IF(Table1[[#This Row],[age]]&lt;45,"35-44","45+")))</f>
        <v>35-44</v>
      </c>
      <c r="D138" s="5">
        <v>61000</v>
      </c>
      <c r="E138" s="5" t="str">
        <f>IF(Table1[[#This Row],[annual_income]]&lt;40000,"Low",IF(Table1[[#This Row],[annual_income]]&lt;60000,"Medium","High"))</f>
        <v>High</v>
      </c>
      <c r="F138" s="6">
        <v>480</v>
      </c>
      <c r="G138" s="4">
        <v>7.8</v>
      </c>
      <c r="H138" s="4" t="str">
        <f>IF(Table1[[#This Row],[loyaltyscore]]&gt;=8,"High Value",IF(Table1[[#This Row],[loyaltyscore]]&gt;=5,"Medium Value","Low Value"))</f>
        <v>Medium Value</v>
      </c>
      <c r="I138" s="4" t="s">
        <v>4</v>
      </c>
      <c r="J138" s="4">
        <v>21</v>
      </c>
    </row>
    <row r="139" spans="1:10" x14ac:dyDescent="0.35">
      <c r="A139" s="4">
        <v>138</v>
      </c>
      <c r="B139" s="4">
        <v>50</v>
      </c>
      <c r="C139" s="4" t="str">
        <f>IF(Table1[[#This Row],[age]]&lt;25,"18-24",IF(Table1[[#This Row],[age]]&lt;35,"25-34",IF(Table1[[#This Row],[age]]&lt;45,"35-44","45+")))</f>
        <v>45+</v>
      </c>
      <c r="D139" s="5">
        <v>70000</v>
      </c>
      <c r="E139" s="5" t="str">
        <f>IF(Table1[[#This Row],[annual_income]]&lt;40000,"Low",IF(Table1[[#This Row],[annual_income]]&lt;60000,"Medium","High"))</f>
        <v>High</v>
      </c>
      <c r="F139" s="6">
        <v>600</v>
      </c>
      <c r="G139" s="4">
        <v>9</v>
      </c>
      <c r="H139" s="4" t="str">
        <f>IF(Table1[[#This Row],[loyaltyscore]]&gt;=8,"High Value",IF(Table1[[#This Row],[loyaltyscore]]&gt;=5,"Medium Value","Low Value"))</f>
        <v>High Value</v>
      </c>
      <c r="I139" s="4" t="s">
        <v>5</v>
      </c>
      <c r="J139" s="4">
        <v>25</v>
      </c>
    </row>
    <row r="140" spans="1:10" x14ac:dyDescent="0.35">
      <c r="A140" s="4">
        <v>139</v>
      </c>
      <c r="B140" s="4">
        <v>36</v>
      </c>
      <c r="C140" s="4" t="str">
        <f>IF(Table1[[#This Row],[age]]&lt;25,"18-24",IF(Table1[[#This Row],[age]]&lt;35,"25-34",IF(Table1[[#This Row],[age]]&lt;45,"35-44","45+")))</f>
        <v>35-44</v>
      </c>
      <c r="D140" s="5">
        <v>54000</v>
      </c>
      <c r="E140" s="5" t="str">
        <f>IF(Table1[[#This Row],[annual_income]]&lt;40000,"Low",IF(Table1[[#This Row],[annual_income]]&lt;60000,"Medium","High"))</f>
        <v>Medium</v>
      </c>
      <c r="F140" s="6">
        <v>400</v>
      </c>
      <c r="G140" s="4">
        <v>6.5</v>
      </c>
      <c r="H140" s="4" t="str">
        <f>IF(Table1[[#This Row],[loyaltyscore]]&gt;=8,"High Value",IF(Table1[[#This Row],[loyaltyscore]]&gt;=5,"Medium Value","Low Value"))</f>
        <v>Medium Value</v>
      </c>
      <c r="I140" s="4" t="s">
        <v>3</v>
      </c>
      <c r="J140" s="4">
        <v>19</v>
      </c>
    </row>
    <row r="141" spans="1:10" x14ac:dyDescent="0.35">
      <c r="A141" s="4">
        <v>140</v>
      </c>
      <c r="B141" s="4">
        <v>24</v>
      </c>
      <c r="C141" s="4" t="str">
        <f>IF(Table1[[#This Row],[age]]&lt;25,"18-24",IF(Table1[[#This Row],[age]]&lt;35,"25-34",IF(Table1[[#This Row],[age]]&lt;45,"35-44","45+")))</f>
        <v>18-24</v>
      </c>
      <c r="D141" s="5">
        <v>32000</v>
      </c>
      <c r="E141" s="5" t="str">
        <f>IF(Table1[[#This Row],[annual_income]]&lt;40000,"Low",IF(Table1[[#This Row],[annual_income]]&lt;60000,"Medium","High"))</f>
        <v>Low</v>
      </c>
      <c r="F141" s="6">
        <v>170</v>
      </c>
      <c r="G141" s="4">
        <v>3.3</v>
      </c>
      <c r="H141" s="4" t="str">
        <f>IF(Table1[[#This Row],[loyaltyscore]]&gt;=8,"High Value",IF(Table1[[#This Row],[loyaltyscore]]&gt;=5,"Medium Value","Low Value"))</f>
        <v>Low Value</v>
      </c>
      <c r="I141" s="4" t="s">
        <v>4</v>
      </c>
      <c r="J141" s="4">
        <v>11</v>
      </c>
    </row>
    <row r="142" spans="1:10" x14ac:dyDescent="0.35">
      <c r="A142" s="4">
        <v>141</v>
      </c>
      <c r="B142" s="4">
        <v>49</v>
      </c>
      <c r="C142" s="4" t="str">
        <f>IF(Table1[[#This Row],[age]]&lt;25,"18-24",IF(Table1[[#This Row],[age]]&lt;35,"25-34",IF(Table1[[#This Row],[age]]&lt;45,"35-44","45+")))</f>
        <v>45+</v>
      </c>
      <c r="D142" s="5">
        <v>69000</v>
      </c>
      <c r="E142" s="5" t="str">
        <f>IF(Table1[[#This Row],[annual_income]]&lt;40000,"Low",IF(Table1[[#This Row],[annual_income]]&lt;60000,"Medium","High"))</f>
        <v>High</v>
      </c>
      <c r="F142" s="6">
        <v>590</v>
      </c>
      <c r="G142" s="4">
        <v>8.9</v>
      </c>
      <c r="H142" s="4" t="str">
        <f>IF(Table1[[#This Row],[loyaltyscore]]&gt;=8,"High Value",IF(Table1[[#This Row],[loyaltyscore]]&gt;=5,"Medium Value","Low Value"))</f>
        <v>High Value</v>
      </c>
      <c r="I142" s="4" t="s">
        <v>5</v>
      </c>
      <c r="J142" s="4">
        <v>24</v>
      </c>
    </row>
    <row r="143" spans="1:10" x14ac:dyDescent="0.35">
      <c r="A143" s="4">
        <v>142</v>
      </c>
      <c r="B143" s="4">
        <v>26</v>
      </c>
      <c r="C143" s="4" t="str">
        <f>IF(Table1[[#This Row],[age]]&lt;25,"18-24",IF(Table1[[#This Row],[age]]&lt;35,"25-34",IF(Table1[[#This Row],[age]]&lt;45,"35-44","45+")))</f>
        <v>25-34</v>
      </c>
      <c r="D143" s="5">
        <v>44000</v>
      </c>
      <c r="E143" s="5" t="str">
        <f>IF(Table1[[#This Row],[annual_income]]&lt;40000,"Low",IF(Table1[[#This Row],[annual_income]]&lt;60000,"Medium","High"))</f>
        <v>Medium</v>
      </c>
      <c r="F143" s="6">
        <v>240</v>
      </c>
      <c r="G143" s="4">
        <v>4.3</v>
      </c>
      <c r="H143" s="4" t="str">
        <f>IF(Table1[[#This Row],[loyaltyscore]]&gt;=8,"High Value",IF(Table1[[#This Row],[loyaltyscore]]&gt;=5,"Medium Value","Low Value"))</f>
        <v>Low Value</v>
      </c>
      <c r="I143" s="4" t="s">
        <v>3</v>
      </c>
      <c r="J143" s="4">
        <v>14</v>
      </c>
    </row>
    <row r="144" spans="1:10" x14ac:dyDescent="0.35">
      <c r="A144" s="4">
        <v>143</v>
      </c>
      <c r="B144" s="4">
        <v>45</v>
      </c>
      <c r="C144" s="4" t="str">
        <f>IF(Table1[[#This Row],[age]]&lt;25,"18-24",IF(Table1[[#This Row],[age]]&lt;35,"25-34",IF(Table1[[#This Row],[age]]&lt;45,"35-44","45+")))</f>
        <v>45+</v>
      </c>
      <c r="D144" s="5">
        <v>65000</v>
      </c>
      <c r="E144" s="5" t="str">
        <f>IF(Table1[[#This Row],[annual_income]]&lt;40000,"Low",IF(Table1[[#This Row],[annual_income]]&lt;60000,"Medium","High"))</f>
        <v>High</v>
      </c>
      <c r="F144" s="6">
        <v>500</v>
      </c>
      <c r="G144" s="4">
        <v>8</v>
      </c>
      <c r="H144" s="4" t="str">
        <f>IF(Table1[[#This Row],[loyaltyscore]]&gt;=8,"High Value",IF(Table1[[#This Row],[loyaltyscore]]&gt;=5,"Medium Value","Low Value"))</f>
        <v>High Value</v>
      </c>
      <c r="I144" s="4" t="s">
        <v>4</v>
      </c>
      <c r="J144" s="4">
        <v>22</v>
      </c>
    </row>
    <row r="145" spans="1:10" x14ac:dyDescent="0.35">
      <c r="A145" s="4">
        <v>144</v>
      </c>
      <c r="B145" s="4">
        <v>40</v>
      </c>
      <c r="C145" s="4" t="str">
        <f>IF(Table1[[#This Row],[age]]&lt;25,"18-24",IF(Table1[[#This Row],[age]]&lt;35,"25-34",IF(Table1[[#This Row],[age]]&lt;45,"35-44","45+")))</f>
        <v>35-44</v>
      </c>
      <c r="D145" s="5">
        <v>60000</v>
      </c>
      <c r="E145" s="5" t="str">
        <f>IF(Table1[[#This Row],[annual_income]]&lt;40000,"Low",IF(Table1[[#This Row],[annual_income]]&lt;60000,"Medium","High"))</f>
        <v>High</v>
      </c>
      <c r="F145" s="6">
        <v>450</v>
      </c>
      <c r="G145" s="4">
        <v>7.2</v>
      </c>
      <c r="H145" s="4" t="str">
        <f>IF(Table1[[#This Row],[loyaltyscore]]&gt;=8,"High Value",IF(Table1[[#This Row],[loyaltyscore]]&gt;=5,"Medium Value","Low Value"))</f>
        <v>Medium Value</v>
      </c>
      <c r="I145" s="4" t="s">
        <v>5</v>
      </c>
      <c r="J145" s="4">
        <v>20</v>
      </c>
    </row>
    <row r="146" spans="1:10" x14ac:dyDescent="0.35">
      <c r="A146" s="4">
        <v>145</v>
      </c>
      <c r="B146" s="4">
        <v>38</v>
      </c>
      <c r="C146" s="4" t="str">
        <f>IF(Table1[[#This Row],[age]]&lt;25,"18-24",IF(Table1[[#This Row],[age]]&lt;35,"25-34",IF(Table1[[#This Row],[age]]&lt;45,"35-44","45+")))</f>
        <v>35-44</v>
      </c>
      <c r="D146" s="5">
        <v>59000</v>
      </c>
      <c r="E146" s="5" t="str">
        <f>IF(Table1[[#This Row],[annual_income]]&lt;40000,"Low",IF(Table1[[#This Row],[annual_income]]&lt;60000,"Medium","High"))</f>
        <v>Medium</v>
      </c>
      <c r="F146" s="6">
        <v>430</v>
      </c>
      <c r="G146" s="4">
        <v>6.9</v>
      </c>
      <c r="H146" s="4" t="str">
        <f>IF(Table1[[#This Row],[loyaltyscore]]&gt;=8,"High Value",IF(Table1[[#This Row],[loyaltyscore]]&gt;=5,"Medium Value","Low Value"))</f>
        <v>Medium Value</v>
      </c>
      <c r="I146" s="4" t="s">
        <v>3</v>
      </c>
      <c r="J146" s="4">
        <v>20</v>
      </c>
    </row>
    <row r="147" spans="1:10" x14ac:dyDescent="0.35">
      <c r="A147" s="4">
        <v>146</v>
      </c>
      <c r="B147" s="4">
        <v>54</v>
      </c>
      <c r="C147" s="4" t="str">
        <f>IF(Table1[[#This Row],[age]]&lt;25,"18-24",IF(Table1[[#This Row],[age]]&lt;35,"25-34",IF(Table1[[#This Row],[age]]&lt;45,"35-44","45+")))</f>
        <v>45+</v>
      </c>
      <c r="D147" s="5">
        <v>74000</v>
      </c>
      <c r="E147" s="5" t="str">
        <f>IF(Table1[[#This Row],[annual_income]]&lt;40000,"Low",IF(Table1[[#This Row],[annual_income]]&lt;60000,"Medium","High"))</f>
        <v>High</v>
      </c>
      <c r="F147" s="6">
        <v>630</v>
      </c>
      <c r="G147" s="4">
        <v>9.4</v>
      </c>
      <c r="H147" s="4" t="str">
        <f>IF(Table1[[#This Row],[loyaltyscore]]&gt;=8,"High Value",IF(Table1[[#This Row],[loyaltyscore]]&gt;=5,"Medium Value","Low Value"))</f>
        <v>High Value</v>
      </c>
      <c r="I147" s="4" t="s">
        <v>4</v>
      </c>
      <c r="J147" s="4">
        <v>27</v>
      </c>
    </row>
    <row r="148" spans="1:10" x14ac:dyDescent="0.35">
      <c r="A148" s="4">
        <v>147</v>
      </c>
      <c r="B148" s="4">
        <v>32</v>
      </c>
      <c r="C148" s="4" t="str">
        <f>IF(Table1[[#This Row],[age]]&lt;25,"18-24",IF(Table1[[#This Row],[age]]&lt;35,"25-34",IF(Table1[[#This Row],[age]]&lt;45,"35-44","45+")))</f>
        <v>25-34</v>
      </c>
      <c r="D148" s="5">
        <v>52000</v>
      </c>
      <c r="E148" s="5" t="str">
        <f>IF(Table1[[#This Row],[annual_income]]&lt;40000,"Low",IF(Table1[[#This Row],[annual_income]]&lt;60000,"Medium","High"))</f>
        <v>Medium</v>
      </c>
      <c r="F148" s="6">
        <v>360</v>
      </c>
      <c r="G148" s="4">
        <v>5.8</v>
      </c>
      <c r="H148" s="4" t="str">
        <f>IF(Table1[[#This Row],[loyaltyscore]]&gt;=8,"High Value",IF(Table1[[#This Row],[loyaltyscore]]&gt;=5,"Medium Value","Low Value"))</f>
        <v>Medium Value</v>
      </c>
      <c r="I148" s="4" t="s">
        <v>5</v>
      </c>
      <c r="J148" s="4">
        <v>18</v>
      </c>
    </row>
    <row r="149" spans="1:10" x14ac:dyDescent="0.35">
      <c r="A149" s="4">
        <v>148</v>
      </c>
      <c r="B149" s="4">
        <v>31</v>
      </c>
      <c r="C149" s="4" t="str">
        <f>IF(Table1[[#This Row],[age]]&lt;25,"18-24",IF(Table1[[#This Row],[age]]&lt;35,"25-34",IF(Table1[[#This Row],[age]]&lt;45,"35-44","45+")))</f>
        <v>25-34</v>
      </c>
      <c r="D149" s="5">
        <v>51000</v>
      </c>
      <c r="E149" s="5" t="str">
        <f>IF(Table1[[#This Row],[annual_income]]&lt;40000,"Low",IF(Table1[[#This Row],[annual_income]]&lt;60000,"Medium","High"))</f>
        <v>Medium</v>
      </c>
      <c r="F149" s="6">
        <v>340</v>
      </c>
      <c r="G149" s="4">
        <v>5.6</v>
      </c>
      <c r="H149" s="4" t="str">
        <f>IF(Table1[[#This Row],[loyaltyscore]]&gt;=8,"High Value",IF(Table1[[#This Row],[loyaltyscore]]&gt;=5,"Medium Value","Low Value"))</f>
        <v>Medium Value</v>
      </c>
      <c r="I149" s="4" t="s">
        <v>3</v>
      </c>
      <c r="J149" s="4">
        <v>17</v>
      </c>
    </row>
    <row r="150" spans="1:10" x14ac:dyDescent="0.35">
      <c r="A150" s="4">
        <v>149</v>
      </c>
      <c r="B150" s="4">
        <v>42</v>
      </c>
      <c r="C150" s="4" t="str">
        <f>IF(Table1[[#This Row],[age]]&lt;25,"18-24",IF(Table1[[#This Row],[age]]&lt;35,"25-34",IF(Table1[[#This Row],[age]]&lt;45,"35-44","45+")))</f>
        <v>35-44</v>
      </c>
      <c r="D150" s="5">
        <v>62000</v>
      </c>
      <c r="E150" s="5" t="str">
        <f>IF(Table1[[#This Row],[annual_income]]&lt;40000,"Low",IF(Table1[[#This Row],[annual_income]]&lt;60000,"Medium","High"))</f>
        <v>High</v>
      </c>
      <c r="F150" s="6">
        <v>520</v>
      </c>
      <c r="G150" s="4">
        <v>8.1999999999999993</v>
      </c>
      <c r="H150" s="4" t="str">
        <f>IF(Table1[[#This Row],[loyaltyscore]]&gt;=8,"High Value",IF(Table1[[#This Row],[loyaltyscore]]&gt;=5,"Medium Value","Low Value"))</f>
        <v>High Value</v>
      </c>
      <c r="I150" s="4" t="s">
        <v>4</v>
      </c>
      <c r="J150" s="4">
        <v>23</v>
      </c>
    </row>
    <row r="151" spans="1:10" x14ac:dyDescent="0.35">
      <c r="A151" s="4">
        <v>150</v>
      </c>
      <c r="B151" s="4">
        <v>55</v>
      </c>
      <c r="C151" s="4" t="str">
        <f>IF(Table1[[#This Row],[age]]&lt;25,"18-24",IF(Table1[[#This Row],[age]]&lt;35,"25-34",IF(Table1[[#This Row],[age]]&lt;45,"35-44","45+")))</f>
        <v>45+</v>
      </c>
      <c r="D151" s="5">
        <v>75000</v>
      </c>
      <c r="E151" s="5" t="str">
        <f>IF(Table1[[#This Row],[annual_income]]&lt;40000,"Low",IF(Table1[[#This Row],[annual_income]]&lt;60000,"Medium","High"))</f>
        <v>High</v>
      </c>
      <c r="F151" s="6">
        <v>640</v>
      </c>
      <c r="G151" s="4">
        <v>9.5</v>
      </c>
      <c r="H151" s="4" t="str">
        <f>IF(Table1[[#This Row],[loyaltyscore]]&gt;=8,"High Value",IF(Table1[[#This Row],[loyaltyscore]]&gt;=5,"Medium Value","Low Value"))</f>
        <v>High Value</v>
      </c>
      <c r="I151" s="4" t="s">
        <v>5</v>
      </c>
      <c r="J151" s="4">
        <v>28</v>
      </c>
    </row>
    <row r="152" spans="1:10" x14ac:dyDescent="0.35">
      <c r="A152" s="4">
        <v>151</v>
      </c>
      <c r="B152" s="4">
        <v>29</v>
      </c>
      <c r="C152" s="4" t="str">
        <f>IF(Table1[[#This Row],[age]]&lt;25,"18-24",IF(Table1[[#This Row],[age]]&lt;35,"25-34",IF(Table1[[#This Row],[age]]&lt;45,"35-44","45+")))</f>
        <v>25-34</v>
      </c>
      <c r="D152" s="5">
        <v>46000</v>
      </c>
      <c r="E152" s="5" t="str">
        <f>IF(Table1[[#This Row],[annual_income]]&lt;40000,"Low",IF(Table1[[#This Row],[annual_income]]&lt;60000,"Medium","High"))</f>
        <v>Medium</v>
      </c>
      <c r="F152" s="6">
        <v>270</v>
      </c>
      <c r="G152" s="4">
        <v>4.3</v>
      </c>
      <c r="H152" s="4" t="str">
        <f>IF(Table1[[#This Row],[loyaltyscore]]&gt;=8,"High Value",IF(Table1[[#This Row],[loyaltyscore]]&gt;=5,"Medium Value","Low Value"))</f>
        <v>Low Value</v>
      </c>
      <c r="I152" s="4" t="s">
        <v>3</v>
      </c>
      <c r="J152" s="4">
        <v>15</v>
      </c>
    </row>
    <row r="153" spans="1:10" x14ac:dyDescent="0.35">
      <c r="A153" s="4">
        <v>152</v>
      </c>
      <c r="B153" s="4">
        <v>33</v>
      </c>
      <c r="C153" s="4" t="str">
        <f>IF(Table1[[#This Row],[age]]&lt;25,"18-24",IF(Table1[[#This Row],[age]]&lt;35,"25-34",IF(Table1[[#This Row],[age]]&lt;45,"35-44","45+")))</f>
        <v>25-34</v>
      </c>
      <c r="D153" s="5">
        <v>53000</v>
      </c>
      <c r="E153" s="5" t="str">
        <f>IF(Table1[[#This Row],[annual_income]]&lt;40000,"Low",IF(Table1[[#This Row],[annual_income]]&lt;60000,"Medium","High"))</f>
        <v>Medium</v>
      </c>
      <c r="F153" s="6">
        <v>380</v>
      </c>
      <c r="G153" s="4">
        <v>6</v>
      </c>
      <c r="H153" s="4" t="str">
        <f>IF(Table1[[#This Row],[loyaltyscore]]&gt;=8,"High Value",IF(Table1[[#This Row],[loyaltyscore]]&gt;=5,"Medium Value","Low Value"))</f>
        <v>Medium Value</v>
      </c>
      <c r="I153" s="4" t="s">
        <v>4</v>
      </c>
      <c r="J153" s="4">
        <v>18</v>
      </c>
    </row>
    <row r="154" spans="1:10" x14ac:dyDescent="0.35">
      <c r="A154" s="4">
        <v>153</v>
      </c>
      <c r="B154" s="4">
        <v>51</v>
      </c>
      <c r="C154" s="4" t="str">
        <f>IF(Table1[[#This Row],[age]]&lt;25,"18-24",IF(Table1[[#This Row],[age]]&lt;35,"25-34",IF(Table1[[#This Row],[age]]&lt;45,"35-44","45+")))</f>
        <v>45+</v>
      </c>
      <c r="D154" s="5">
        <v>71000</v>
      </c>
      <c r="E154" s="5" t="str">
        <f>IF(Table1[[#This Row],[annual_income]]&lt;40000,"Low",IF(Table1[[#This Row],[annual_income]]&lt;60000,"Medium","High"))</f>
        <v>High</v>
      </c>
      <c r="F154" s="6">
        <v>600</v>
      </c>
      <c r="G154" s="4">
        <v>9</v>
      </c>
      <c r="H154" s="4" t="str">
        <f>IF(Table1[[#This Row],[loyaltyscore]]&gt;=8,"High Value",IF(Table1[[#This Row],[loyaltyscore]]&gt;=5,"Medium Value","Low Value"))</f>
        <v>High Value</v>
      </c>
      <c r="I154" s="4" t="s">
        <v>5</v>
      </c>
      <c r="J154" s="4">
        <v>25</v>
      </c>
    </row>
    <row r="155" spans="1:10" x14ac:dyDescent="0.35">
      <c r="A155" s="4">
        <v>154</v>
      </c>
      <c r="B155" s="4">
        <v>27</v>
      </c>
      <c r="C155" s="4" t="str">
        <f>IF(Table1[[#This Row],[age]]&lt;25,"18-24",IF(Table1[[#This Row],[age]]&lt;35,"25-34",IF(Table1[[#This Row],[age]]&lt;45,"35-44","45+")))</f>
        <v>25-34</v>
      </c>
      <c r="D155" s="5">
        <v>43000</v>
      </c>
      <c r="E155" s="5" t="str">
        <f>IF(Table1[[#This Row],[annual_income]]&lt;40000,"Low",IF(Table1[[#This Row],[annual_income]]&lt;60000,"Medium","High"))</f>
        <v>Medium</v>
      </c>
      <c r="F155" s="6">
        <v>230</v>
      </c>
      <c r="G155" s="4">
        <v>4</v>
      </c>
      <c r="H155" s="4" t="str">
        <f>IF(Table1[[#This Row],[loyaltyscore]]&gt;=8,"High Value",IF(Table1[[#This Row],[loyaltyscore]]&gt;=5,"Medium Value","Low Value"))</f>
        <v>Low Value</v>
      </c>
      <c r="I155" s="4" t="s">
        <v>3</v>
      </c>
      <c r="J155" s="4">
        <v>14</v>
      </c>
    </row>
    <row r="156" spans="1:10" x14ac:dyDescent="0.35">
      <c r="A156" s="4">
        <v>155</v>
      </c>
      <c r="B156" s="4">
        <v>43</v>
      </c>
      <c r="C156" s="4" t="str">
        <f>IF(Table1[[#This Row],[age]]&lt;25,"18-24",IF(Table1[[#This Row],[age]]&lt;35,"25-34",IF(Table1[[#This Row],[age]]&lt;45,"35-44","45+")))</f>
        <v>35-44</v>
      </c>
      <c r="D156" s="5">
        <v>63000</v>
      </c>
      <c r="E156" s="5" t="str">
        <f>IF(Table1[[#This Row],[annual_income]]&lt;40000,"Low",IF(Table1[[#This Row],[annual_income]]&lt;60000,"Medium","High"))</f>
        <v>High</v>
      </c>
      <c r="F156" s="6">
        <v>470</v>
      </c>
      <c r="G156" s="4">
        <v>7.8</v>
      </c>
      <c r="H156" s="4" t="str">
        <f>IF(Table1[[#This Row],[loyaltyscore]]&gt;=8,"High Value",IF(Table1[[#This Row],[loyaltyscore]]&gt;=5,"Medium Value","Low Value"))</f>
        <v>Medium Value</v>
      </c>
      <c r="I156" s="4" t="s">
        <v>4</v>
      </c>
      <c r="J156" s="4">
        <v>21</v>
      </c>
    </row>
    <row r="157" spans="1:10" x14ac:dyDescent="0.35">
      <c r="A157" s="4">
        <v>156</v>
      </c>
      <c r="B157" s="4">
        <v>41</v>
      </c>
      <c r="C157" s="4" t="str">
        <f>IF(Table1[[#This Row],[age]]&lt;25,"18-24",IF(Table1[[#This Row],[age]]&lt;35,"25-34",IF(Table1[[#This Row],[age]]&lt;45,"35-44","45+")))</f>
        <v>35-44</v>
      </c>
      <c r="D157" s="5">
        <v>61000</v>
      </c>
      <c r="E157" s="5" t="str">
        <f>IF(Table1[[#This Row],[annual_income]]&lt;40000,"Low",IF(Table1[[#This Row],[annual_income]]&lt;60000,"Medium","High"))</f>
        <v>High</v>
      </c>
      <c r="F157" s="6">
        <v>480</v>
      </c>
      <c r="G157" s="4">
        <v>7.7</v>
      </c>
      <c r="H157" s="4" t="str">
        <f>IF(Table1[[#This Row],[loyaltyscore]]&gt;=8,"High Value",IF(Table1[[#This Row],[loyaltyscore]]&gt;=5,"Medium Value","Low Value"))</f>
        <v>Medium Value</v>
      </c>
      <c r="I157" s="4" t="s">
        <v>5</v>
      </c>
      <c r="J157" s="4">
        <v>22</v>
      </c>
    </row>
    <row r="158" spans="1:10" x14ac:dyDescent="0.35">
      <c r="A158" s="4">
        <v>157</v>
      </c>
      <c r="B158" s="4">
        <v>50</v>
      </c>
      <c r="C158" s="4" t="str">
        <f>IF(Table1[[#This Row],[age]]&lt;25,"18-24",IF(Table1[[#This Row],[age]]&lt;35,"25-34",IF(Table1[[#This Row],[age]]&lt;45,"35-44","45+")))</f>
        <v>45+</v>
      </c>
      <c r="D158" s="5">
        <v>70000</v>
      </c>
      <c r="E158" s="5" t="str">
        <f>IF(Table1[[#This Row],[annual_income]]&lt;40000,"Low",IF(Table1[[#This Row],[annual_income]]&lt;60000,"Medium","High"))</f>
        <v>High</v>
      </c>
      <c r="F158" s="6">
        <v>600</v>
      </c>
      <c r="G158" s="4">
        <v>9</v>
      </c>
      <c r="H158" s="4" t="str">
        <f>IF(Table1[[#This Row],[loyaltyscore]]&gt;=8,"High Value",IF(Table1[[#This Row],[loyaltyscore]]&gt;=5,"Medium Value","Low Value"))</f>
        <v>High Value</v>
      </c>
      <c r="I158" s="4" t="s">
        <v>3</v>
      </c>
      <c r="J158" s="4">
        <v>25</v>
      </c>
    </row>
    <row r="159" spans="1:10" x14ac:dyDescent="0.35">
      <c r="A159" s="4">
        <v>158</v>
      </c>
      <c r="B159" s="4">
        <v>24</v>
      </c>
      <c r="C159" s="4" t="str">
        <f>IF(Table1[[#This Row],[age]]&lt;25,"18-24",IF(Table1[[#This Row],[age]]&lt;35,"25-34",IF(Table1[[#This Row],[age]]&lt;45,"35-44","45+")))</f>
        <v>18-24</v>
      </c>
      <c r="D159" s="5">
        <v>32000</v>
      </c>
      <c r="E159" s="5" t="str">
        <f>IF(Table1[[#This Row],[annual_income]]&lt;40000,"Low",IF(Table1[[#This Row],[annual_income]]&lt;60000,"Medium","High"))</f>
        <v>Low</v>
      </c>
      <c r="F159" s="6">
        <v>170</v>
      </c>
      <c r="G159" s="4">
        <v>3.3</v>
      </c>
      <c r="H159" s="4" t="str">
        <f>IF(Table1[[#This Row],[loyaltyscore]]&gt;=8,"High Value",IF(Table1[[#This Row],[loyaltyscore]]&gt;=5,"Medium Value","Low Value"))</f>
        <v>Low Value</v>
      </c>
      <c r="I159" s="4" t="s">
        <v>4</v>
      </c>
      <c r="J159" s="4">
        <v>11</v>
      </c>
    </row>
    <row r="160" spans="1:10" x14ac:dyDescent="0.35">
      <c r="A160" s="4">
        <v>159</v>
      </c>
      <c r="B160" s="4">
        <v>48</v>
      </c>
      <c r="C160" s="4" t="str">
        <f>IF(Table1[[#This Row],[age]]&lt;25,"18-24",IF(Table1[[#This Row],[age]]&lt;35,"25-34",IF(Table1[[#This Row],[age]]&lt;45,"35-44","45+")))</f>
        <v>45+</v>
      </c>
      <c r="D160" s="5">
        <v>68000</v>
      </c>
      <c r="E160" s="5" t="str">
        <f>IF(Table1[[#This Row],[annual_income]]&lt;40000,"Low",IF(Table1[[#This Row],[annual_income]]&lt;60000,"Medium","High"))</f>
        <v>High</v>
      </c>
      <c r="F160" s="6">
        <v>550</v>
      </c>
      <c r="G160" s="4">
        <v>8.5</v>
      </c>
      <c r="H160" s="4" t="str">
        <f>IF(Table1[[#This Row],[loyaltyscore]]&gt;=8,"High Value",IF(Table1[[#This Row],[loyaltyscore]]&gt;=5,"Medium Value","Low Value"))</f>
        <v>High Value</v>
      </c>
      <c r="I160" s="4" t="s">
        <v>5</v>
      </c>
      <c r="J160" s="4">
        <v>24</v>
      </c>
    </row>
    <row r="161" spans="1:10" x14ac:dyDescent="0.35">
      <c r="A161" s="4">
        <v>160</v>
      </c>
      <c r="B161" s="4">
        <v>30</v>
      </c>
      <c r="C161" s="4" t="str">
        <f>IF(Table1[[#This Row],[age]]&lt;25,"18-24",IF(Table1[[#This Row],[age]]&lt;35,"25-34",IF(Table1[[#This Row],[age]]&lt;45,"35-44","45+")))</f>
        <v>25-34</v>
      </c>
      <c r="D161" s="5">
        <v>49000</v>
      </c>
      <c r="E161" s="5" t="str">
        <f>IF(Table1[[#This Row],[annual_income]]&lt;40000,"Low",IF(Table1[[#This Row],[annual_income]]&lt;60000,"Medium","High"))</f>
        <v>Medium</v>
      </c>
      <c r="F161" s="6">
        <v>300</v>
      </c>
      <c r="G161" s="4">
        <v>5</v>
      </c>
      <c r="H161" s="4" t="str">
        <f>IF(Table1[[#This Row],[loyaltyscore]]&gt;=8,"High Value",IF(Table1[[#This Row],[loyaltyscore]]&gt;=5,"Medium Value","Low Value"))</f>
        <v>Medium Value</v>
      </c>
      <c r="I161" s="4" t="s">
        <v>3</v>
      </c>
      <c r="J161" s="4">
        <v>16</v>
      </c>
    </row>
    <row r="162" spans="1:10" x14ac:dyDescent="0.35">
      <c r="A162" s="4">
        <v>161</v>
      </c>
      <c r="B162" s="4">
        <v>39</v>
      </c>
      <c r="C162" s="4" t="str">
        <f>IF(Table1[[#This Row],[age]]&lt;25,"18-24",IF(Table1[[#This Row],[age]]&lt;35,"25-34",IF(Table1[[#This Row],[age]]&lt;45,"35-44","45+")))</f>
        <v>35-44</v>
      </c>
      <c r="D162" s="5">
        <v>57000</v>
      </c>
      <c r="E162" s="5" t="str">
        <f>IF(Table1[[#This Row],[annual_income]]&lt;40000,"Low",IF(Table1[[#This Row],[annual_income]]&lt;60000,"Medium","High"))</f>
        <v>Medium</v>
      </c>
      <c r="F162" s="6">
        <v>440</v>
      </c>
      <c r="G162" s="4">
        <v>7</v>
      </c>
      <c r="H162" s="4" t="str">
        <f>IF(Table1[[#This Row],[loyaltyscore]]&gt;=8,"High Value",IF(Table1[[#This Row],[loyaltyscore]]&gt;=5,"Medium Value","Low Value"))</f>
        <v>Medium Value</v>
      </c>
      <c r="I162" s="4" t="s">
        <v>4</v>
      </c>
      <c r="J162" s="4">
        <v>21</v>
      </c>
    </row>
    <row r="163" spans="1:10" x14ac:dyDescent="0.35">
      <c r="A163" s="4">
        <v>162</v>
      </c>
      <c r="B163" s="4">
        <v>37</v>
      </c>
      <c r="C163" s="4" t="str">
        <f>IF(Table1[[#This Row],[age]]&lt;25,"18-24",IF(Table1[[#This Row],[age]]&lt;35,"25-34",IF(Table1[[#This Row],[age]]&lt;45,"35-44","45+")))</f>
        <v>35-44</v>
      </c>
      <c r="D163" s="5">
        <v>58000</v>
      </c>
      <c r="E163" s="5" t="str">
        <f>IF(Table1[[#This Row],[annual_income]]&lt;40000,"Low",IF(Table1[[#This Row],[annual_income]]&lt;60000,"Medium","High"))</f>
        <v>Medium</v>
      </c>
      <c r="F163" s="6">
        <v>420</v>
      </c>
      <c r="G163" s="4">
        <v>6.8</v>
      </c>
      <c r="H163" s="4" t="str">
        <f>IF(Table1[[#This Row],[loyaltyscore]]&gt;=8,"High Value",IF(Table1[[#This Row],[loyaltyscore]]&gt;=5,"Medium Value","Low Value"))</f>
        <v>Medium Value</v>
      </c>
      <c r="I163" s="4" t="s">
        <v>5</v>
      </c>
      <c r="J163" s="4">
        <v>20</v>
      </c>
    </row>
    <row r="164" spans="1:10" x14ac:dyDescent="0.35">
      <c r="A164" s="4">
        <v>163</v>
      </c>
      <c r="B164" s="4">
        <v>46</v>
      </c>
      <c r="C164" s="4" t="str">
        <f>IF(Table1[[#This Row],[age]]&lt;25,"18-24",IF(Table1[[#This Row],[age]]&lt;35,"25-34",IF(Table1[[#This Row],[age]]&lt;45,"35-44","45+")))</f>
        <v>45+</v>
      </c>
      <c r="D164" s="5">
        <v>66000</v>
      </c>
      <c r="E164" s="5" t="str">
        <f>IF(Table1[[#This Row],[annual_income]]&lt;40000,"Low",IF(Table1[[#This Row],[annual_income]]&lt;60000,"Medium","High"))</f>
        <v>High</v>
      </c>
      <c r="F164" s="6">
        <v>510</v>
      </c>
      <c r="G164" s="4">
        <v>8.1</v>
      </c>
      <c r="H164" s="4" t="str">
        <f>IF(Table1[[#This Row],[loyaltyscore]]&gt;=8,"High Value",IF(Table1[[#This Row],[loyaltyscore]]&gt;=5,"Medium Value","Low Value"))</f>
        <v>High Value</v>
      </c>
      <c r="I164" s="4" t="s">
        <v>3</v>
      </c>
      <c r="J164" s="4">
        <v>22</v>
      </c>
    </row>
    <row r="165" spans="1:10" x14ac:dyDescent="0.35">
      <c r="A165" s="4">
        <v>164</v>
      </c>
      <c r="B165" s="4">
        <v>33</v>
      </c>
      <c r="C165" s="4" t="str">
        <f>IF(Table1[[#This Row],[age]]&lt;25,"18-24",IF(Table1[[#This Row],[age]]&lt;35,"25-34",IF(Table1[[#This Row],[age]]&lt;45,"35-44","45+")))</f>
        <v>25-34</v>
      </c>
      <c r="D165" s="5">
        <v>53000</v>
      </c>
      <c r="E165" s="5" t="str">
        <f>IF(Table1[[#This Row],[annual_income]]&lt;40000,"Low",IF(Table1[[#This Row],[annual_income]]&lt;60000,"Medium","High"))</f>
        <v>Medium</v>
      </c>
      <c r="F165" s="6">
        <v>380</v>
      </c>
      <c r="G165" s="4">
        <v>6</v>
      </c>
      <c r="H165" s="4" t="str">
        <f>IF(Table1[[#This Row],[loyaltyscore]]&gt;=8,"High Value",IF(Table1[[#This Row],[loyaltyscore]]&gt;=5,"Medium Value","Low Value"))</f>
        <v>Medium Value</v>
      </c>
      <c r="I165" s="4" t="s">
        <v>4</v>
      </c>
      <c r="J165" s="4">
        <v>18</v>
      </c>
    </row>
    <row r="166" spans="1:10" x14ac:dyDescent="0.35">
      <c r="A166" s="4">
        <v>165</v>
      </c>
      <c r="B166" s="4">
        <v>52</v>
      </c>
      <c r="C166" s="4" t="str">
        <f>IF(Table1[[#This Row],[age]]&lt;25,"18-24",IF(Table1[[#This Row],[age]]&lt;35,"25-34",IF(Table1[[#This Row],[age]]&lt;45,"35-44","45+")))</f>
        <v>45+</v>
      </c>
      <c r="D166" s="5">
        <v>72000</v>
      </c>
      <c r="E166" s="5" t="str">
        <f>IF(Table1[[#This Row],[annual_income]]&lt;40000,"Low",IF(Table1[[#This Row],[annual_income]]&lt;60000,"Medium","High"))</f>
        <v>High</v>
      </c>
      <c r="F166" s="6">
        <v>610</v>
      </c>
      <c r="G166" s="4">
        <v>9.1999999999999993</v>
      </c>
      <c r="H166" s="4" t="str">
        <f>IF(Table1[[#This Row],[loyaltyscore]]&gt;=8,"High Value",IF(Table1[[#This Row],[loyaltyscore]]&gt;=5,"Medium Value","Low Value"))</f>
        <v>High Value</v>
      </c>
      <c r="I166" s="4" t="s">
        <v>5</v>
      </c>
      <c r="J166" s="4">
        <v>26</v>
      </c>
    </row>
    <row r="167" spans="1:10" x14ac:dyDescent="0.35">
      <c r="A167" s="4">
        <v>166</v>
      </c>
      <c r="B167" s="4">
        <v>28</v>
      </c>
      <c r="C167" s="4" t="str">
        <f>IF(Table1[[#This Row],[age]]&lt;25,"18-24",IF(Table1[[#This Row],[age]]&lt;35,"25-34",IF(Table1[[#This Row],[age]]&lt;45,"35-44","45+")))</f>
        <v>25-34</v>
      </c>
      <c r="D167" s="5">
        <v>46000</v>
      </c>
      <c r="E167" s="5" t="str">
        <f>IF(Table1[[#This Row],[annual_income]]&lt;40000,"Low",IF(Table1[[#This Row],[annual_income]]&lt;60000,"Medium","High"))</f>
        <v>Medium</v>
      </c>
      <c r="F167" s="6">
        <v>250</v>
      </c>
      <c r="G167" s="4">
        <v>4.2</v>
      </c>
      <c r="H167" s="4" t="str">
        <f>IF(Table1[[#This Row],[loyaltyscore]]&gt;=8,"High Value",IF(Table1[[#This Row],[loyaltyscore]]&gt;=5,"Medium Value","Low Value"))</f>
        <v>Low Value</v>
      </c>
      <c r="I167" s="4" t="s">
        <v>3</v>
      </c>
      <c r="J167" s="4">
        <v>14</v>
      </c>
    </row>
    <row r="168" spans="1:10" x14ac:dyDescent="0.35">
      <c r="A168" s="4">
        <v>167</v>
      </c>
      <c r="B168" s="4">
        <v>41</v>
      </c>
      <c r="C168" s="4" t="str">
        <f>IF(Table1[[#This Row],[age]]&lt;25,"18-24",IF(Table1[[#This Row],[age]]&lt;35,"25-34",IF(Table1[[#This Row],[age]]&lt;45,"35-44","45+")))</f>
        <v>35-44</v>
      </c>
      <c r="D168" s="5">
        <v>61000</v>
      </c>
      <c r="E168" s="5" t="str">
        <f>IF(Table1[[#This Row],[annual_income]]&lt;40000,"Low",IF(Table1[[#This Row],[annual_income]]&lt;60000,"Medium","High"))</f>
        <v>High</v>
      </c>
      <c r="F168" s="6">
        <v>480</v>
      </c>
      <c r="G168" s="4">
        <v>7.8</v>
      </c>
      <c r="H168" s="4" t="str">
        <f>IF(Table1[[#This Row],[loyaltyscore]]&gt;=8,"High Value",IF(Table1[[#This Row],[loyaltyscore]]&gt;=5,"Medium Value","Low Value"))</f>
        <v>Medium Value</v>
      </c>
      <c r="I168" s="4" t="s">
        <v>4</v>
      </c>
      <c r="J168" s="4">
        <v>21</v>
      </c>
    </row>
    <row r="169" spans="1:10" x14ac:dyDescent="0.35">
      <c r="A169" s="4">
        <v>168</v>
      </c>
      <c r="B169" s="4">
        <v>50</v>
      </c>
      <c r="C169" s="4" t="str">
        <f>IF(Table1[[#This Row],[age]]&lt;25,"18-24",IF(Table1[[#This Row],[age]]&lt;35,"25-34",IF(Table1[[#This Row],[age]]&lt;45,"35-44","45+")))</f>
        <v>45+</v>
      </c>
      <c r="D169" s="5">
        <v>70000</v>
      </c>
      <c r="E169" s="5" t="str">
        <f>IF(Table1[[#This Row],[annual_income]]&lt;40000,"Low",IF(Table1[[#This Row],[annual_income]]&lt;60000,"Medium","High"))</f>
        <v>High</v>
      </c>
      <c r="F169" s="6">
        <v>600</v>
      </c>
      <c r="G169" s="4">
        <v>9</v>
      </c>
      <c r="H169" s="4" t="str">
        <f>IF(Table1[[#This Row],[loyaltyscore]]&gt;=8,"High Value",IF(Table1[[#This Row],[loyaltyscore]]&gt;=5,"Medium Value","Low Value"))</f>
        <v>High Value</v>
      </c>
      <c r="I169" s="4" t="s">
        <v>5</v>
      </c>
      <c r="J169" s="4">
        <v>25</v>
      </c>
    </row>
    <row r="170" spans="1:10" x14ac:dyDescent="0.35">
      <c r="A170" s="4">
        <v>169</v>
      </c>
      <c r="B170" s="4">
        <v>36</v>
      </c>
      <c r="C170" s="4" t="str">
        <f>IF(Table1[[#This Row],[age]]&lt;25,"18-24",IF(Table1[[#This Row],[age]]&lt;35,"25-34",IF(Table1[[#This Row],[age]]&lt;45,"35-44","45+")))</f>
        <v>35-44</v>
      </c>
      <c r="D170" s="5">
        <v>54000</v>
      </c>
      <c r="E170" s="5" t="str">
        <f>IF(Table1[[#This Row],[annual_income]]&lt;40000,"Low",IF(Table1[[#This Row],[annual_income]]&lt;60000,"Medium","High"))</f>
        <v>Medium</v>
      </c>
      <c r="F170" s="6">
        <v>400</v>
      </c>
      <c r="G170" s="4">
        <v>6.5</v>
      </c>
      <c r="H170" s="4" t="str">
        <f>IF(Table1[[#This Row],[loyaltyscore]]&gt;=8,"High Value",IF(Table1[[#This Row],[loyaltyscore]]&gt;=5,"Medium Value","Low Value"))</f>
        <v>Medium Value</v>
      </c>
      <c r="I170" s="4" t="s">
        <v>3</v>
      </c>
      <c r="J170" s="4">
        <v>19</v>
      </c>
    </row>
    <row r="171" spans="1:10" x14ac:dyDescent="0.35">
      <c r="A171" s="4">
        <v>170</v>
      </c>
      <c r="B171" s="4">
        <v>24</v>
      </c>
      <c r="C171" s="4" t="str">
        <f>IF(Table1[[#This Row],[age]]&lt;25,"18-24",IF(Table1[[#This Row],[age]]&lt;35,"25-34",IF(Table1[[#This Row],[age]]&lt;45,"35-44","45+")))</f>
        <v>18-24</v>
      </c>
      <c r="D171" s="5">
        <v>32000</v>
      </c>
      <c r="E171" s="5" t="str">
        <f>IF(Table1[[#This Row],[annual_income]]&lt;40000,"Low",IF(Table1[[#This Row],[annual_income]]&lt;60000,"Medium","High"))</f>
        <v>Low</v>
      </c>
      <c r="F171" s="6">
        <v>170</v>
      </c>
      <c r="G171" s="4">
        <v>3.3</v>
      </c>
      <c r="H171" s="4" t="str">
        <f>IF(Table1[[#This Row],[loyaltyscore]]&gt;=8,"High Value",IF(Table1[[#This Row],[loyaltyscore]]&gt;=5,"Medium Value","Low Value"))</f>
        <v>Low Value</v>
      </c>
      <c r="I171" s="4" t="s">
        <v>4</v>
      </c>
      <c r="J171" s="4">
        <v>11</v>
      </c>
    </row>
    <row r="172" spans="1:10" x14ac:dyDescent="0.35">
      <c r="A172" s="4">
        <v>171</v>
      </c>
      <c r="B172" s="4">
        <v>49</v>
      </c>
      <c r="C172" s="4" t="str">
        <f>IF(Table1[[#This Row],[age]]&lt;25,"18-24",IF(Table1[[#This Row],[age]]&lt;35,"25-34",IF(Table1[[#This Row],[age]]&lt;45,"35-44","45+")))</f>
        <v>45+</v>
      </c>
      <c r="D172" s="5">
        <v>69000</v>
      </c>
      <c r="E172" s="5" t="str">
        <f>IF(Table1[[#This Row],[annual_income]]&lt;40000,"Low",IF(Table1[[#This Row],[annual_income]]&lt;60000,"Medium","High"))</f>
        <v>High</v>
      </c>
      <c r="F172" s="6">
        <v>590</v>
      </c>
      <c r="G172" s="4">
        <v>8.9</v>
      </c>
      <c r="H172" s="4" t="str">
        <f>IF(Table1[[#This Row],[loyaltyscore]]&gt;=8,"High Value",IF(Table1[[#This Row],[loyaltyscore]]&gt;=5,"Medium Value","Low Value"))</f>
        <v>High Value</v>
      </c>
      <c r="I172" s="4" t="s">
        <v>5</v>
      </c>
      <c r="J172" s="4">
        <v>24</v>
      </c>
    </row>
    <row r="173" spans="1:10" x14ac:dyDescent="0.35">
      <c r="A173" s="4">
        <v>172</v>
      </c>
      <c r="B173" s="4">
        <v>26</v>
      </c>
      <c r="C173" s="4" t="str">
        <f>IF(Table1[[#This Row],[age]]&lt;25,"18-24",IF(Table1[[#This Row],[age]]&lt;35,"25-34",IF(Table1[[#This Row],[age]]&lt;45,"35-44","45+")))</f>
        <v>25-34</v>
      </c>
      <c r="D173" s="5">
        <v>44000</v>
      </c>
      <c r="E173" s="5" t="str">
        <f>IF(Table1[[#This Row],[annual_income]]&lt;40000,"Low",IF(Table1[[#This Row],[annual_income]]&lt;60000,"Medium","High"))</f>
        <v>Medium</v>
      </c>
      <c r="F173" s="6">
        <v>240</v>
      </c>
      <c r="G173" s="4">
        <v>4.3</v>
      </c>
      <c r="H173" s="4" t="str">
        <f>IF(Table1[[#This Row],[loyaltyscore]]&gt;=8,"High Value",IF(Table1[[#This Row],[loyaltyscore]]&gt;=5,"Medium Value","Low Value"))</f>
        <v>Low Value</v>
      </c>
      <c r="I173" s="4" t="s">
        <v>3</v>
      </c>
      <c r="J173" s="4">
        <v>14</v>
      </c>
    </row>
    <row r="174" spans="1:10" x14ac:dyDescent="0.35">
      <c r="A174" s="4">
        <v>173</v>
      </c>
      <c r="B174" s="4">
        <v>45</v>
      </c>
      <c r="C174" s="4" t="str">
        <f>IF(Table1[[#This Row],[age]]&lt;25,"18-24",IF(Table1[[#This Row],[age]]&lt;35,"25-34",IF(Table1[[#This Row],[age]]&lt;45,"35-44","45+")))</f>
        <v>45+</v>
      </c>
      <c r="D174" s="5">
        <v>65000</v>
      </c>
      <c r="E174" s="5" t="str">
        <f>IF(Table1[[#This Row],[annual_income]]&lt;40000,"Low",IF(Table1[[#This Row],[annual_income]]&lt;60000,"Medium","High"))</f>
        <v>High</v>
      </c>
      <c r="F174" s="6">
        <v>500</v>
      </c>
      <c r="G174" s="4">
        <v>8</v>
      </c>
      <c r="H174" s="4" t="str">
        <f>IF(Table1[[#This Row],[loyaltyscore]]&gt;=8,"High Value",IF(Table1[[#This Row],[loyaltyscore]]&gt;=5,"Medium Value","Low Value"))</f>
        <v>High Value</v>
      </c>
      <c r="I174" s="4" t="s">
        <v>4</v>
      </c>
      <c r="J174" s="4">
        <v>22</v>
      </c>
    </row>
    <row r="175" spans="1:10" x14ac:dyDescent="0.35">
      <c r="A175" s="4">
        <v>174</v>
      </c>
      <c r="B175" s="4">
        <v>40</v>
      </c>
      <c r="C175" s="4" t="str">
        <f>IF(Table1[[#This Row],[age]]&lt;25,"18-24",IF(Table1[[#This Row],[age]]&lt;35,"25-34",IF(Table1[[#This Row],[age]]&lt;45,"35-44","45+")))</f>
        <v>35-44</v>
      </c>
      <c r="D175" s="5">
        <v>60000</v>
      </c>
      <c r="E175" s="5" t="str">
        <f>IF(Table1[[#This Row],[annual_income]]&lt;40000,"Low",IF(Table1[[#This Row],[annual_income]]&lt;60000,"Medium","High"))</f>
        <v>High</v>
      </c>
      <c r="F175" s="6">
        <v>450</v>
      </c>
      <c r="G175" s="4">
        <v>7.2</v>
      </c>
      <c r="H175" s="4" t="str">
        <f>IF(Table1[[#This Row],[loyaltyscore]]&gt;=8,"High Value",IF(Table1[[#This Row],[loyaltyscore]]&gt;=5,"Medium Value","Low Value"))</f>
        <v>Medium Value</v>
      </c>
      <c r="I175" s="4" t="s">
        <v>5</v>
      </c>
      <c r="J175" s="4">
        <v>20</v>
      </c>
    </row>
    <row r="176" spans="1:10" x14ac:dyDescent="0.35">
      <c r="A176" s="4">
        <v>175</v>
      </c>
      <c r="B176" s="4">
        <v>38</v>
      </c>
      <c r="C176" s="4" t="str">
        <f>IF(Table1[[#This Row],[age]]&lt;25,"18-24",IF(Table1[[#This Row],[age]]&lt;35,"25-34",IF(Table1[[#This Row],[age]]&lt;45,"35-44","45+")))</f>
        <v>35-44</v>
      </c>
      <c r="D176" s="5">
        <v>59000</v>
      </c>
      <c r="E176" s="5" t="str">
        <f>IF(Table1[[#This Row],[annual_income]]&lt;40000,"Low",IF(Table1[[#This Row],[annual_income]]&lt;60000,"Medium","High"))</f>
        <v>Medium</v>
      </c>
      <c r="F176" s="6">
        <v>430</v>
      </c>
      <c r="G176" s="4">
        <v>6.9</v>
      </c>
      <c r="H176" s="4" t="str">
        <f>IF(Table1[[#This Row],[loyaltyscore]]&gt;=8,"High Value",IF(Table1[[#This Row],[loyaltyscore]]&gt;=5,"Medium Value","Low Value"))</f>
        <v>Medium Value</v>
      </c>
      <c r="I176" s="4" t="s">
        <v>3</v>
      </c>
      <c r="J176" s="4">
        <v>20</v>
      </c>
    </row>
    <row r="177" spans="1:10" x14ac:dyDescent="0.35">
      <c r="A177" s="4">
        <v>176</v>
      </c>
      <c r="B177" s="4">
        <v>54</v>
      </c>
      <c r="C177" s="4" t="str">
        <f>IF(Table1[[#This Row],[age]]&lt;25,"18-24",IF(Table1[[#This Row],[age]]&lt;35,"25-34",IF(Table1[[#This Row],[age]]&lt;45,"35-44","45+")))</f>
        <v>45+</v>
      </c>
      <c r="D177" s="5">
        <v>74000</v>
      </c>
      <c r="E177" s="5" t="str">
        <f>IF(Table1[[#This Row],[annual_income]]&lt;40000,"Low",IF(Table1[[#This Row],[annual_income]]&lt;60000,"Medium","High"))</f>
        <v>High</v>
      </c>
      <c r="F177" s="6">
        <v>630</v>
      </c>
      <c r="G177" s="4">
        <v>9.4</v>
      </c>
      <c r="H177" s="4" t="str">
        <f>IF(Table1[[#This Row],[loyaltyscore]]&gt;=8,"High Value",IF(Table1[[#This Row],[loyaltyscore]]&gt;=5,"Medium Value","Low Value"))</f>
        <v>High Value</v>
      </c>
      <c r="I177" s="4" t="s">
        <v>4</v>
      </c>
      <c r="J177" s="4">
        <v>27</v>
      </c>
    </row>
    <row r="178" spans="1:10" x14ac:dyDescent="0.35">
      <c r="A178" s="4">
        <v>177</v>
      </c>
      <c r="B178" s="4">
        <v>32</v>
      </c>
      <c r="C178" s="4" t="str">
        <f>IF(Table1[[#This Row],[age]]&lt;25,"18-24",IF(Table1[[#This Row],[age]]&lt;35,"25-34",IF(Table1[[#This Row],[age]]&lt;45,"35-44","45+")))</f>
        <v>25-34</v>
      </c>
      <c r="D178" s="5">
        <v>52000</v>
      </c>
      <c r="E178" s="5" t="str">
        <f>IF(Table1[[#This Row],[annual_income]]&lt;40000,"Low",IF(Table1[[#This Row],[annual_income]]&lt;60000,"Medium","High"))</f>
        <v>Medium</v>
      </c>
      <c r="F178" s="6">
        <v>360</v>
      </c>
      <c r="G178" s="4">
        <v>5.8</v>
      </c>
      <c r="H178" s="4" t="str">
        <f>IF(Table1[[#This Row],[loyaltyscore]]&gt;=8,"High Value",IF(Table1[[#This Row],[loyaltyscore]]&gt;=5,"Medium Value","Low Value"))</f>
        <v>Medium Value</v>
      </c>
      <c r="I178" s="4" t="s">
        <v>5</v>
      </c>
      <c r="J178" s="4">
        <v>18</v>
      </c>
    </row>
    <row r="179" spans="1:10" x14ac:dyDescent="0.35">
      <c r="A179" s="4">
        <v>178</v>
      </c>
      <c r="B179" s="4">
        <v>31</v>
      </c>
      <c r="C179" s="4" t="str">
        <f>IF(Table1[[#This Row],[age]]&lt;25,"18-24",IF(Table1[[#This Row],[age]]&lt;35,"25-34",IF(Table1[[#This Row],[age]]&lt;45,"35-44","45+")))</f>
        <v>25-34</v>
      </c>
      <c r="D179" s="5">
        <v>51000</v>
      </c>
      <c r="E179" s="5" t="str">
        <f>IF(Table1[[#This Row],[annual_income]]&lt;40000,"Low",IF(Table1[[#This Row],[annual_income]]&lt;60000,"Medium","High"))</f>
        <v>Medium</v>
      </c>
      <c r="F179" s="6">
        <v>340</v>
      </c>
      <c r="G179" s="4">
        <v>5.6</v>
      </c>
      <c r="H179" s="4" t="str">
        <f>IF(Table1[[#This Row],[loyaltyscore]]&gt;=8,"High Value",IF(Table1[[#This Row],[loyaltyscore]]&gt;=5,"Medium Value","Low Value"))</f>
        <v>Medium Value</v>
      </c>
      <c r="I179" s="4" t="s">
        <v>3</v>
      </c>
      <c r="J179" s="4">
        <v>17</v>
      </c>
    </row>
    <row r="180" spans="1:10" x14ac:dyDescent="0.35">
      <c r="A180" s="4">
        <v>179</v>
      </c>
      <c r="B180" s="4">
        <v>42</v>
      </c>
      <c r="C180" s="4" t="str">
        <f>IF(Table1[[#This Row],[age]]&lt;25,"18-24",IF(Table1[[#This Row],[age]]&lt;35,"25-34",IF(Table1[[#This Row],[age]]&lt;45,"35-44","45+")))</f>
        <v>35-44</v>
      </c>
      <c r="D180" s="5">
        <v>62000</v>
      </c>
      <c r="E180" s="5" t="str">
        <f>IF(Table1[[#This Row],[annual_income]]&lt;40000,"Low",IF(Table1[[#This Row],[annual_income]]&lt;60000,"Medium","High"))</f>
        <v>High</v>
      </c>
      <c r="F180" s="6">
        <v>520</v>
      </c>
      <c r="G180" s="4">
        <v>8.1999999999999993</v>
      </c>
      <c r="H180" s="4" t="str">
        <f>IF(Table1[[#This Row],[loyaltyscore]]&gt;=8,"High Value",IF(Table1[[#This Row],[loyaltyscore]]&gt;=5,"Medium Value","Low Value"))</f>
        <v>High Value</v>
      </c>
      <c r="I180" s="4" t="s">
        <v>4</v>
      </c>
      <c r="J180" s="4">
        <v>23</v>
      </c>
    </row>
    <row r="181" spans="1:10" x14ac:dyDescent="0.35">
      <c r="A181" s="4">
        <v>180</v>
      </c>
      <c r="B181" s="4">
        <v>55</v>
      </c>
      <c r="C181" s="4" t="str">
        <f>IF(Table1[[#This Row],[age]]&lt;25,"18-24",IF(Table1[[#This Row],[age]]&lt;35,"25-34",IF(Table1[[#This Row],[age]]&lt;45,"35-44","45+")))</f>
        <v>45+</v>
      </c>
      <c r="D181" s="5">
        <v>75000</v>
      </c>
      <c r="E181" s="5" t="str">
        <f>IF(Table1[[#This Row],[annual_income]]&lt;40000,"Low",IF(Table1[[#This Row],[annual_income]]&lt;60000,"Medium","High"))</f>
        <v>High</v>
      </c>
      <c r="F181" s="6">
        <v>640</v>
      </c>
      <c r="G181" s="4">
        <v>9.5</v>
      </c>
      <c r="H181" s="4" t="str">
        <f>IF(Table1[[#This Row],[loyaltyscore]]&gt;=8,"High Value",IF(Table1[[#This Row],[loyaltyscore]]&gt;=5,"Medium Value","Low Value"))</f>
        <v>High Value</v>
      </c>
      <c r="I181" s="4" t="s">
        <v>5</v>
      </c>
      <c r="J181" s="4">
        <v>28</v>
      </c>
    </row>
    <row r="182" spans="1:10" x14ac:dyDescent="0.35">
      <c r="A182" s="4">
        <v>181</v>
      </c>
      <c r="B182" s="4">
        <v>29</v>
      </c>
      <c r="C182" s="4" t="str">
        <f>IF(Table1[[#This Row],[age]]&lt;25,"18-24",IF(Table1[[#This Row],[age]]&lt;35,"25-34",IF(Table1[[#This Row],[age]]&lt;45,"35-44","45+")))</f>
        <v>25-34</v>
      </c>
      <c r="D182" s="5">
        <v>46000</v>
      </c>
      <c r="E182" s="5" t="str">
        <f>IF(Table1[[#This Row],[annual_income]]&lt;40000,"Low",IF(Table1[[#This Row],[annual_income]]&lt;60000,"Medium","High"))</f>
        <v>Medium</v>
      </c>
      <c r="F182" s="6">
        <v>270</v>
      </c>
      <c r="G182" s="4">
        <v>4.3</v>
      </c>
      <c r="H182" s="4" t="str">
        <f>IF(Table1[[#This Row],[loyaltyscore]]&gt;=8,"High Value",IF(Table1[[#This Row],[loyaltyscore]]&gt;=5,"Medium Value","Low Value"))</f>
        <v>Low Value</v>
      </c>
      <c r="I182" s="4" t="s">
        <v>3</v>
      </c>
      <c r="J182" s="4">
        <v>15</v>
      </c>
    </row>
    <row r="183" spans="1:10" x14ac:dyDescent="0.35">
      <c r="A183" s="4">
        <v>182</v>
      </c>
      <c r="B183" s="4">
        <v>33</v>
      </c>
      <c r="C183" s="4" t="str">
        <f>IF(Table1[[#This Row],[age]]&lt;25,"18-24",IF(Table1[[#This Row],[age]]&lt;35,"25-34",IF(Table1[[#This Row],[age]]&lt;45,"35-44","45+")))</f>
        <v>25-34</v>
      </c>
      <c r="D183" s="5">
        <v>53000</v>
      </c>
      <c r="E183" s="5" t="str">
        <f>IF(Table1[[#This Row],[annual_income]]&lt;40000,"Low",IF(Table1[[#This Row],[annual_income]]&lt;60000,"Medium","High"))</f>
        <v>Medium</v>
      </c>
      <c r="F183" s="6">
        <v>380</v>
      </c>
      <c r="G183" s="4">
        <v>6</v>
      </c>
      <c r="H183" s="4" t="str">
        <f>IF(Table1[[#This Row],[loyaltyscore]]&gt;=8,"High Value",IF(Table1[[#This Row],[loyaltyscore]]&gt;=5,"Medium Value","Low Value"))</f>
        <v>Medium Value</v>
      </c>
      <c r="I183" s="4" t="s">
        <v>4</v>
      </c>
      <c r="J183" s="4">
        <v>18</v>
      </c>
    </row>
    <row r="184" spans="1:10" x14ac:dyDescent="0.35">
      <c r="A184" s="4">
        <v>183</v>
      </c>
      <c r="B184" s="4">
        <v>51</v>
      </c>
      <c r="C184" s="4" t="str">
        <f>IF(Table1[[#This Row],[age]]&lt;25,"18-24",IF(Table1[[#This Row],[age]]&lt;35,"25-34",IF(Table1[[#This Row],[age]]&lt;45,"35-44","45+")))</f>
        <v>45+</v>
      </c>
      <c r="D184" s="5">
        <v>71000</v>
      </c>
      <c r="E184" s="5" t="str">
        <f>IF(Table1[[#This Row],[annual_income]]&lt;40000,"Low",IF(Table1[[#This Row],[annual_income]]&lt;60000,"Medium","High"))</f>
        <v>High</v>
      </c>
      <c r="F184" s="6">
        <v>600</v>
      </c>
      <c r="G184" s="4">
        <v>9</v>
      </c>
      <c r="H184" s="4" t="str">
        <f>IF(Table1[[#This Row],[loyaltyscore]]&gt;=8,"High Value",IF(Table1[[#This Row],[loyaltyscore]]&gt;=5,"Medium Value","Low Value"))</f>
        <v>High Value</v>
      </c>
      <c r="I184" s="4" t="s">
        <v>5</v>
      </c>
      <c r="J184" s="4">
        <v>25</v>
      </c>
    </row>
    <row r="185" spans="1:10" x14ac:dyDescent="0.35">
      <c r="A185" s="4">
        <v>184</v>
      </c>
      <c r="B185" s="4">
        <v>27</v>
      </c>
      <c r="C185" s="4" t="str">
        <f>IF(Table1[[#This Row],[age]]&lt;25,"18-24",IF(Table1[[#This Row],[age]]&lt;35,"25-34",IF(Table1[[#This Row],[age]]&lt;45,"35-44","45+")))</f>
        <v>25-34</v>
      </c>
      <c r="D185" s="5">
        <v>43000</v>
      </c>
      <c r="E185" s="5" t="str">
        <f>IF(Table1[[#This Row],[annual_income]]&lt;40000,"Low",IF(Table1[[#This Row],[annual_income]]&lt;60000,"Medium","High"))</f>
        <v>Medium</v>
      </c>
      <c r="F185" s="6">
        <v>230</v>
      </c>
      <c r="G185" s="4">
        <v>4</v>
      </c>
      <c r="H185" s="4" t="str">
        <f>IF(Table1[[#This Row],[loyaltyscore]]&gt;=8,"High Value",IF(Table1[[#This Row],[loyaltyscore]]&gt;=5,"Medium Value","Low Value"))</f>
        <v>Low Value</v>
      </c>
      <c r="I185" s="4" t="s">
        <v>3</v>
      </c>
      <c r="J185" s="4">
        <v>14</v>
      </c>
    </row>
    <row r="186" spans="1:10" x14ac:dyDescent="0.35">
      <c r="A186" s="4">
        <v>185</v>
      </c>
      <c r="B186" s="4">
        <v>43</v>
      </c>
      <c r="C186" s="4" t="str">
        <f>IF(Table1[[#This Row],[age]]&lt;25,"18-24",IF(Table1[[#This Row],[age]]&lt;35,"25-34",IF(Table1[[#This Row],[age]]&lt;45,"35-44","45+")))</f>
        <v>35-44</v>
      </c>
      <c r="D186" s="5">
        <v>63000</v>
      </c>
      <c r="E186" s="5" t="str">
        <f>IF(Table1[[#This Row],[annual_income]]&lt;40000,"Low",IF(Table1[[#This Row],[annual_income]]&lt;60000,"Medium","High"))</f>
        <v>High</v>
      </c>
      <c r="F186" s="6">
        <v>470</v>
      </c>
      <c r="G186" s="4">
        <v>7.8</v>
      </c>
      <c r="H186" s="4" t="str">
        <f>IF(Table1[[#This Row],[loyaltyscore]]&gt;=8,"High Value",IF(Table1[[#This Row],[loyaltyscore]]&gt;=5,"Medium Value","Low Value"))</f>
        <v>Medium Value</v>
      </c>
      <c r="I186" s="4" t="s">
        <v>4</v>
      </c>
      <c r="J186" s="4">
        <v>21</v>
      </c>
    </row>
    <row r="187" spans="1:10" x14ac:dyDescent="0.35">
      <c r="A187" s="4">
        <v>186</v>
      </c>
      <c r="B187" s="4">
        <v>41</v>
      </c>
      <c r="C187" s="4" t="str">
        <f>IF(Table1[[#This Row],[age]]&lt;25,"18-24",IF(Table1[[#This Row],[age]]&lt;35,"25-34",IF(Table1[[#This Row],[age]]&lt;45,"35-44","45+")))</f>
        <v>35-44</v>
      </c>
      <c r="D187" s="5">
        <v>61000</v>
      </c>
      <c r="E187" s="5" t="str">
        <f>IF(Table1[[#This Row],[annual_income]]&lt;40000,"Low",IF(Table1[[#This Row],[annual_income]]&lt;60000,"Medium","High"))</f>
        <v>High</v>
      </c>
      <c r="F187" s="6">
        <v>480</v>
      </c>
      <c r="G187" s="4">
        <v>7.7</v>
      </c>
      <c r="H187" s="4" t="str">
        <f>IF(Table1[[#This Row],[loyaltyscore]]&gt;=8,"High Value",IF(Table1[[#This Row],[loyaltyscore]]&gt;=5,"Medium Value","Low Value"))</f>
        <v>Medium Value</v>
      </c>
      <c r="I187" s="4" t="s">
        <v>5</v>
      </c>
      <c r="J187" s="4">
        <v>22</v>
      </c>
    </row>
    <row r="188" spans="1:10" x14ac:dyDescent="0.35">
      <c r="A188" s="4">
        <v>187</v>
      </c>
      <c r="B188" s="4">
        <v>50</v>
      </c>
      <c r="C188" s="4" t="str">
        <f>IF(Table1[[#This Row],[age]]&lt;25,"18-24",IF(Table1[[#This Row],[age]]&lt;35,"25-34",IF(Table1[[#This Row],[age]]&lt;45,"35-44","45+")))</f>
        <v>45+</v>
      </c>
      <c r="D188" s="5">
        <v>70000</v>
      </c>
      <c r="E188" s="5" t="str">
        <f>IF(Table1[[#This Row],[annual_income]]&lt;40000,"Low",IF(Table1[[#This Row],[annual_income]]&lt;60000,"Medium","High"))</f>
        <v>High</v>
      </c>
      <c r="F188" s="6">
        <v>600</v>
      </c>
      <c r="G188" s="4">
        <v>9</v>
      </c>
      <c r="H188" s="4" t="str">
        <f>IF(Table1[[#This Row],[loyaltyscore]]&gt;=8,"High Value",IF(Table1[[#This Row],[loyaltyscore]]&gt;=5,"Medium Value","Low Value"))</f>
        <v>High Value</v>
      </c>
      <c r="I188" s="4" t="s">
        <v>3</v>
      </c>
      <c r="J188" s="4">
        <v>25</v>
      </c>
    </row>
    <row r="189" spans="1:10" x14ac:dyDescent="0.35">
      <c r="A189" s="4">
        <v>188</v>
      </c>
      <c r="B189" s="4">
        <v>24</v>
      </c>
      <c r="C189" s="4" t="str">
        <f>IF(Table1[[#This Row],[age]]&lt;25,"18-24",IF(Table1[[#This Row],[age]]&lt;35,"25-34",IF(Table1[[#This Row],[age]]&lt;45,"35-44","45+")))</f>
        <v>18-24</v>
      </c>
      <c r="D189" s="5">
        <v>32000</v>
      </c>
      <c r="E189" s="5" t="str">
        <f>IF(Table1[[#This Row],[annual_income]]&lt;40000,"Low",IF(Table1[[#This Row],[annual_income]]&lt;60000,"Medium","High"))</f>
        <v>Low</v>
      </c>
      <c r="F189" s="6">
        <v>170</v>
      </c>
      <c r="G189" s="4">
        <v>3.3</v>
      </c>
      <c r="H189" s="4" t="str">
        <f>IF(Table1[[#This Row],[loyaltyscore]]&gt;=8,"High Value",IF(Table1[[#This Row],[loyaltyscore]]&gt;=5,"Medium Value","Low Value"))</f>
        <v>Low Value</v>
      </c>
      <c r="I189" s="4" t="s">
        <v>4</v>
      </c>
      <c r="J189" s="4">
        <v>11</v>
      </c>
    </row>
    <row r="190" spans="1:10" x14ac:dyDescent="0.35">
      <c r="A190" s="4">
        <v>189</v>
      </c>
      <c r="B190" s="4">
        <v>48</v>
      </c>
      <c r="C190" s="4" t="str">
        <f>IF(Table1[[#This Row],[age]]&lt;25,"18-24",IF(Table1[[#This Row],[age]]&lt;35,"25-34",IF(Table1[[#This Row],[age]]&lt;45,"35-44","45+")))</f>
        <v>45+</v>
      </c>
      <c r="D190" s="5">
        <v>68000</v>
      </c>
      <c r="E190" s="5" t="str">
        <f>IF(Table1[[#This Row],[annual_income]]&lt;40000,"Low",IF(Table1[[#This Row],[annual_income]]&lt;60000,"Medium","High"))</f>
        <v>High</v>
      </c>
      <c r="F190" s="6">
        <v>550</v>
      </c>
      <c r="G190" s="4">
        <v>8.5</v>
      </c>
      <c r="H190" s="4" t="str">
        <f>IF(Table1[[#This Row],[loyaltyscore]]&gt;=8,"High Value",IF(Table1[[#This Row],[loyaltyscore]]&gt;=5,"Medium Value","Low Value"))</f>
        <v>High Value</v>
      </c>
      <c r="I190" s="4" t="s">
        <v>5</v>
      </c>
      <c r="J190" s="4">
        <v>24</v>
      </c>
    </row>
    <row r="191" spans="1:10" x14ac:dyDescent="0.35">
      <c r="A191" s="4">
        <v>190</v>
      </c>
      <c r="B191" s="4">
        <v>30</v>
      </c>
      <c r="C191" s="4" t="str">
        <f>IF(Table1[[#This Row],[age]]&lt;25,"18-24",IF(Table1[[#This Row],[age]]&lt;35,"25-34",IF(Table1[[#This Row],[age]]&lt;45,"35-44","45+")))</f>
        <v>25-34</v>
      </c>
      <c r="D191" s="5">
        <v>49000</v>
      </c>
      <c r="E191" s="5" t="str">
        <f>IF(Table1[[#This Row],[annual_income]]&lt;40000,"Low",IF(Table1[[#This Row],[annual_income]]&lt;60000,"Medium","High"))</f>
        <v>Medium</v>
      </c>
      <c r="F191" s="6">
        <v>300</v>
      </c>
      <c r="G191" s="4">
        <v>5</v>
      </c>
      <c r="H191" s="4" t="str">
        <f>IF(Table1[[#This Row],[loyaltyscore]]&gt;=8,"High Value",IF(Table1[[#This Row],[loyaltyscore]]&gt;=5,"Medium Value","Low Value"))</f>
        <v>Medium Value</v>
      </c>
      <c r="I191" s="4" t="s">
        <v>3</v>
      </c>
      <c r="J191" s="4">
        <v>16</v>
      </c>
    </row>
    <row r="192" spans="1:10" x14ac:dyDescent="0.35">
      <c r="A192" s="4">
        <v>191</v>
      </c>
      <c r="B192" s="4">
        <v>39</v>
      </c>
      <c r="C192" s="4" t="str">
        <f>IF(Table1[[#This Row],[age]]&lt;25,"18-24",IF(Table1[[#This Row],[age]]&lt;35,"25-34",IF(Table1[[#This Row],[age]]&lt;45,"35-44","45+")))</f>
        <v>35-44</v>
      </c>
      <c r="D192" s="5">
        <v>57000</v>
      </c>
      <c r="E192" s="5" t="str">
        <f>IF(Table1[[#This Row],[annual_income]]&lt;40000,"Low",IF(Table1[[#This Row],[annual_income]]&lt;60000,"Medium","High"))</f>
        <v>Medium</v>
      </c>
      <c r="F192" s="6">
        <v>440</v>
      </c>
      <c r="G192" s="4">
        <v>7</v>
      </c>
      <c r="H192" s="4" t="str">
        <f>IF(Table1[[#This Row],[loyaltyscore]]&gt;=8,"High Value",IF(Table1[[#This Row],[loyaltyscore]]&gt;=5,"Medium Value","Low Value"))</f>
        <v>Medium Value</v>
      </c>
      <c r="I192" s="4" t="s">
        <v>4</v>
      </c>
      <c r="J192" s="4">
        <v>21</v>
      </c>
    </row>
    <row r="193" spans="1:10" x14ac:dyDescent="0.35">
      <c r="A193" s="4">
        <v>192</v>
      </c>
      <c r="B193" s="4">
        <v>37</v>
      </c>
      <c r="C193" s="4" t="str">
        <f>IF(Table1[[#This Row],[age]]&lt;25,"18-24",IF(Table1[[#This Row],[age]]&lt;35,"25-34",IF(Table1[[#This Row],[age]]&lt;45,"35-44","45+")))</f>
        <v>35-44</v>
      </c>
      <c r="D193" s="5">
        <v>58000</v>
      </c>
      <c r="E193" s="5" t="str">
        <f>IF(Table1[[#This Row],[annual_income]]&lt;40000,"Low",IF(Table1[[#This Row],[annual_income]]&lt;60000,"Medium","High"))</f>
        <v>Medium</v>
      </c>
      <c r="F193" s="6">
        <v>420</v>
      </c>
      <c r="G193" s="4">
        <v>6.8</v>
      </c>
      <c r="H193" s="4" t="str">
        <f>IF(Table1[[#This Row],[loyaltyscore]]&gt;=8,"High Value",IF(Table1[[#This Row],[loyaltyscore]]&gt;=5,"Medium Value","Low Value"))</f>
        <v>Medium Value</v>
      </c>
      <c r="I193" s="4" t="s">
        <v>5</v>
      </c>
      <c r="J193" s="4">
        <v>20</v>
      </c>
    </row>
    <row r="194" spans="1:10" x14ac:dyDescent="0.35">
      <c r="A194" s="4">
        <v>193</v>
      </c>
      <c r="B194" s="4">
        <v>46</v>
      </c>
      <c r="C194" s="4" t="str">
        <f>IF(Table1[[#This Row],[age]]&lt;25,"18-24",IF(Table1[[#This Row],[age]]&lt;35,"25-34",IF(Table1[[#This Row],[age]]&lt;45,"35-44","45+")))</f>
        <v>45+</v>
      </c>
      <c r="D194" s="5">
        <v>66000</v>
      </c>
      <c r="E194" s="5" t="str">
        <f>IF(Table1[[#This Row],[annual_income]]&lt;40000,"Low",IF(Table1[[#This Row],[annual_income]]&lt;60000,"Medium","High"))</f>
        <v>High</v>
      </c>
      <c r="F194" s="6">
        <v>510</v>
      </c>
      <c r="G194" s="4">
        <v>8.1</v>
      </c>
      <c r="H194" s="4" t="str">
        <f>IF(Table1[[#This Row],[loyaltyscore]]&gt;=8,"High Value",IF(Table1[[#This Row],[loyaltyscore]]&gt;=5,"Medium Value","Low Value"))</f>
        <v>High Value</v>
      </c>
      <c r="I194" s="4" t="s">
        <v>3</v>
      </c>
      <c r="J194" s="4">
        <v>22</v>
      </c>
    </row>
    <row r="195" spans="1:10" x14ac:dyDescent="0.35">
      <c r="A195" s="4">
        <v>194</v>
      </c>
      <c r="B195" s="4">
        <v>33</v>
      </c>
      <c r="C195" s="4" t="str">
        <f>IF(Table1[[#This Row],[age]]&lt;25,"18-24",IF(Table1[[#This Row],[age]]&lt;35,"25-34",IF(Table1[[#This Row],[age]]&lt;45,"35-44","45+")))</f>
        <v>25-34</v>
      </c>
      <c r="D195" s="5">
        <v>53000</v>
      </c>
      <c r="E195" s="5" t="str">
        <f>IF(Table1[[#This Row],[annual_income]]&lt;40000,"Low",IF(Table1[[#This Row],[annual_income]]&lt;60000,"Medium","High"))</f>
        <v>Medium</v>
      </c>
      <c r="F195" s="6">
        <v>380</v>
      </c>
      <c r="G195" s="4">
        <v>6</v>
      </c>
      <c r="H195" s="4" t="str">
        <f>IF(Table1[[#This Row],[loyaltyscore]]&gt;=8,"High Value",IF(Table1[[#This Row],[loyaltyscore]]&gt;=5,"Medium Value","Low Value"))</f>
        <v>Medium Value</v>
      </c>
      <c r="I195" s="4" t="s">
        <v>4</v>
      </c>
      <c r="J195" s="4">
        <v>18</v>
      </c>
    </row>
    <row r="196" spans="1:10" x14ac:dyDescent="0.35">
      <c r="A196" s="4">
        <v>195</v>
      </c>
      <c r="B196" s="4">
        <v>52</v>
      </c>
      <c r="C196" s="4" t="str">
        <f>IF(Table1[[#This Row],[age]]&lt;25,"18-24",IF(Table1[[#This Row],[age]]&lt;35,"25-34",IF(Table1[[#This Row],[age]]&lt;45,"35-44","45+")))</f>
        <v>45+</v>
      </c>
      <c r="D196" s="5">
        <v>72000</v>
      </c>
      <c r="E196" s="5" t="str">
        <f>IF(Table1[[#This Row],[annual_income]]&lt;40000,"Low",IF(Table1[[#This Row],[annual_income]]&lt;60000,"Medium","High"))</f>
        <v>High</v>
      </c>
      <c r="F196" s="6">
        <v>610</v>
      </c>
      <c r="G196" s="4">
        <v>9.1999999999999993</v>
      </c>
      <c r="H196" s="4" t="str">
        <f>IF(Table1[[#This Row],[loyaltyscore]]&gt;=8,"High Value",IF(Table1[[#This Row],[loyaltyscore]]&gt;=5,"Medium Value","Low Value"))</f>
        <v>High Value</v>
      </c>
      <c r="I196" s="4" t="s">
        <v>5</v>
      </c>
      <c r="J196" s="4">
        <v>26</v>
      </c>
    </row>
    <row r="197" spans="1:10" x14ac:dyDescent="0.35">
      <c r="A197" s="4">
        <v>196</v>
      </c>
      <c r="B197" s="4">
        <v>28</v>
      </c>
      <c r="C197" s="4" t="str">
        <f>IF(Table1[[#This Row],[age]]&lt;25,"18-24",IF(Table1[[#This Row],[age]]&lt;35,"25-34",IF(Table1[[#This Row],[age]]&lt;45,"35-44","45+")))</f>
        <v>25-34</v>
      </c>
      <c r="D197" s="5">
        <v>46000</v>
      </c>
      <c r="E197" s="5" t="str">
        <f>IF(Table1[[#This Row],[annual_income]]&lt;40000,"Low",IF(Table1[[#This Row],[annual_income]]&lt;60000,"Medium","High"))</f>
        <v>Medium</v>
      </c>
      <c r="F197" s="6">
        <v>250</v>
      </c>
      <c r="G197" s="4">
        <v>4.2</v>
      </c>
      <c r="H197" s="4" t="str">
        <f>IF(Table1[[#This Row],[loyaltyscore]]&gt;=8,"High Value",IF(Table1[[#This Row],[loyaltyscore]]&gt;=5,"Medium Value","Low Value"))</f>
        <v>Low Value</v>
      </c>
      <c r="I197" s="4" t="s">
        <v>3</v>
      </c>
      <c r="J197" s="4">
        <v>14</v>
      </c>
    </row>
    <row r="198" spans="1:10" x14ac:dyDescent="0.35">
      <c r="A198" s="4">
        <v>197</v>
      </c>
      <c r="B198" s="4">
        <v>41</v>
      </c>
      <c r="C198" s="4" t="str">
        <f>IF(Table1[[#This Row],[age]]&lt;25,"18-24",IF(Table1[[#This Row],[age]]&lt;35,"25-34",IF(Table1[[#This Row],[age]]&lt;45,"35-44","45+")))</f>
        <v>35-44</v>
      </c>
      <c r="D198" s="5">
        <v>61000</v>
      </c>
      <c r="E198" s="5" t="str">
        <f>IF(Table1[[#This Row],[annual_income]]&lt;40000,"Low",IF(Table1[[#This Row],[annual_income]]&lt;60000,"Medium","High"))</f>
        <v>High</v>
      </c>
      <c r="F198" s="6">
        <v>480</v>
      </c>
      <c r="G198" s="4">
        <v>7.8</v>
      </c>
      <c r="H198" s="4" t="str">
        <f>IF(Table1[[#This Row],[loyaltyscore]]&gt;=8,"High Value",IF(Table1[[#This Row],[loyaltyscore]]&gt;=5,"Medium Value","Low Value"))</f>
        <v>Medium Value</v>
      </c>
      <c r="I198" s="4" t="s">
        <v>4</v>
      </c>
      <c r="J198" s="4">
        <v>21</v>
      </c>
    </row>
    <row r="199" spans="1:10" x14ac:dyDescent="0.35">
      <c r="A199" s="4">
        <v>198</v>
      </c>
      <c r="B199" s="4">
        <v>50</v>
      </c>
      <c r="C199" s="4" t="str">
        <f>IF(Table1[[#This Row],[age]]&lt;25,"18-24",IF(Table1[[#This Row],[age]]&lt;35,"25-34",IF(Table1[[#This Row],[age]]&lt;45,"35-44","45+")))</f>
        <v>45+</v>
      </c>
      <c r="D199" s="5">
        <v>70000</v>
      </c>
      <c r="E199" s="5" t="str">
        <f>IF(Table1[[#This Row],[annual_income]]&lt;40000,"Low",IF(Table1[[#This Row],[annual_income]]&lt;60000,"Medium","High"))</f>
        <v>High</v>
      </c>
      <c r="F199" s="6">
        <v>600</v>
      </c>
      <c r="G199" s="4">
        <v>9</v>
      </c>
      <c r="H199" s="4" t="str">
        <f>IF(Table1[[#This Row],[loyaltyscore]]&gt;=8,"High Value",IF(Table1[[#This Row],[loyaltyscore]]&gt;=5,"Medium Value","Low Value"))</f>
        <v>High Value</v>
      </c>
      <c r="I199" s="4" t="s">
        <v>5</v>
      </c>
      <c r="J199" s="4">
        <v>25</v>
      </c>
    </row>
    <row r="200" spans="1:10" x14ac:dyDescent="0.35">
      <c r="A200" s="4">
        <v>199</v>
      </c>
      <c r="B200" s="4">
        <v>36</v>
      </c>
      <c r="C200" s="4" t="str">
        <f>IF(Table1[[#This Row],[age]]&lt;25,"18-24",IF(Table1[[#This Row],[age]]&lt;35,"25-34",IF(Table1[[#This Row],[age]]&lt;45,"35-44","45+")))</f>
        <v>35-44</v>
      </c>
      <c r="D200" s="5">
        <v>54000</v>
      </c>
      <c r="E200" s="5" t="str">
        <f>IF(Table1[[#This Row],[annual_income]]&lt;40000,"Low",IF(Table1[[#This Row],[annual_income]]&lt;60000,"Medium","High"))</f>
        <v>Medium</v>
      </c>
      <c r="F200" s="6">
        <v>400</v>
      </c>
      <c r="G200" s="4">
        <v>6.5</v>
      </c>
      <c r="H200" s="4" t="str">
        <f>IF(Table1[[#This Row],[loyaltyscore]]&gt;=8,"High Value",IF(Table1[[#This Row],[loyaltyscore]]&gt;=5,"Medium Value","Low Value"))</f>
        <v>Medium Value</v>
      </c>
      <c r="I200" s="4" t="s">
        <v>3</v>
      </c>
      <c r="J200" s="4">
        <v>19</v>
      </c>
    </row>
    <row r="201" spans="1:10" x14ac:dyDescent="0.35">
      <c r="A201" s="4">
        <v>200</v>
      </c>
      <c r="B201" s="4">
        <v>24</v>
      </c>
      <c r="C201" s="4" t="str">
        <f>IF(Table1[[#This Row],[age]]&lt;25,"18-24",IF(Table1[[#This Row],[age]]&lt;35,"25-34",IF(Table1[[#This Row],[age]]&lt;45,"35-44","45+")))</f>
        <v>18-24</v>
      </c>
      <c r="D201" s="5">
        <v>32000</v>
      </c>
      <c r="E201" s="5" t="str">
        <f>IF(Table1[[#This Row],[annual_income]]&lt;40000,"Low",IF(Table1[[#This Row],[annual_income]]&lt;60000,"Medium","High"))</f>
        <v>Low</v>
      </c>
      <c r="F201" s="6">
        <v>170</v>
      </c>
      <c r="G201" s="4">
        <v>3.3</v>
      </c>
      <c r="H201" s="4" t="str">
        <f>IF(Table1[[#This Row],[loyaltyscore]]&gt;=8,"High Value",IF(Table1[[#This Row],[loyaltyscore]]&gt;=5,"Medium Value","Low Value"))</f>
        <v>Low Value</v>
      </c>
      <c r="I201" s="4" t="s">
        <v>4</v>
      </c>
      <c r="J201" s="4">
        <v>11</v>
      </c>
    </row>
    <row r="202" spans="1:10" x14ac:dyDescent="0.35">
      <c r="A202" s="4">
        <v>201</v>
      </c>
      <c r="B202" s="4">
        <v>49</v>
      </c>
      <c r="C202" s="4" t="str">
        <f>IF(Table1[[#This Row],[age]]&lt;25,"18-24",IF(Table1[[#This Row],[age]]&lt;35,"25-34",IF(Table1[[#This Row],[age]]&lt;45,"35-44","45+")))</f>
        <v>45+</v>
      </c>
      <c r="D202" s="5">
        <v>69000</v>
      </c>
      <c r="E202" s="5" t="str">
        <f>IF(Table1[[#This Row],[annual_income]]&lt;40000,"Low",IF(Table1[[#This Row],[annual_income]]&lt;60000,"Medium","High"))</f>
        <v>High</v>
      </c>
      <c r="F202" s="6">
        <v>590</v>
      </c>
      <c r="G202" s="4">
        <v>8.9</v>
      </c>
      <c r="H202" s="4" t="str">
        <f>IF(Table1[[#This Row],[loyaltyscore]]&gt;=8,"High Value",IF(Table1[[#This Row],[loyaltyscore]]&gt;=5,"Medium Value","Low Value"))</f>
        <v>High Value</v>
      </c>
      <c r="I202" s="4" t="s">
        <v>5</v>
      </c>
      <c r="J202" s="4">
        <v>24</v>
      </c>
    </row>
    <row r="203" spans="1:10" x14ac:dyDescent="0.35">
      <c r="A203" s="4">
        <v>202</v>
      </c>
      <c r="B203" s="4">
        <v>26</v>
      </c>
      <c r="C203" s="4" t="str">
        <f>IF(Table1[[#This Row],[age]]&lt;25,"18-24",IF(Table1[[#This Row],[age]]&lt;35,"25-34",IF(Table1[[#This Row],[age]]&lt;45,"35-44","45+")))</f>
        <v>25-34</v>
      </c>
      <c r="D203" s="5">
        <v>44000</v>
      </c>
      <c r="E203" s="5" t="str">
        <f>IF(Table1[[#This Row],[annual_income]]&lt;40000,"Low",IF(Table1[[#This Row],[annual_income]]&lt;60000,"Medium","High"))</f>
        <v>Medium</v>
      </c>
      <c r="F203" s="6">
        <v>240</v>
      </c>
      <c r="G203" s="4">
        <v>4.3</v>
      </c>
      <c r="H203" s="4" t="str">
        <f>IF(Table1[[#This Row],[loyaltyscore]]&gt;=8,"High Value",IF(Table1[[#This Row],[loyaltyscore]]&gt;=5,"Medium Value","Low Value"))</f>
        <v>Low Value</v>
      </c>
      <c r="I203" s="4" t="s">
        <v>3</v>
      </c>
      <c r="J203" s="4">
        <v>14</v>
      </c>
    </row>
    <row r="204" spans="1:10" x14ac:dyDescent="0.35">
      <c r="A204" s="4">
        <v>203</v>
      </c>
      <c r="B204" s="4">
        <v>45</v>
      </c>
      <c r="C204" s="4" t="str">
        <f>IF(Table1[[#This Row],[age]]&lt;25,"18-24",IF(Table1[[#This Row],[age]]&lt;35,"25-34",IF(Table1[[#This Row],[age]]&lt;45,"35-44","45+")))</f>
        <v>45+</v>
      </c>
      <c r="D204" s="5">
        <v>65000</v>
      </c>
      <c r="E204" s="5" t="str">
        <f>IF(Table1[[#This Row],[annual_income]]&lt;40000,"Low",IF(Table1[[#This Row],[annual_income]]&lt;60000,"Medium","High"))</f>
        <v>High</v>
      </c>
      <c r="F204" s="6">
        <v>500</v>
      </c>
      <c r="G204" s="4">
        <v>8</v>
      </c>
      <c r="H204" s="4" t="str">
        <f>IF(Table1[[#This Row],[loyaltyscore]]&gt;=8,"High Value",IF(Table1[[#This Row],[loyaltyscore]]&gt;=5,"Medium Value","Low Value"))</f>
        <v>High Value</v>
      </c>
      <c r="I204" s="4" t="s">
        <v>4</v>
      </c>
      <c r="J204" s="4">
        <v>22</v>
      </c>
    </row>
    <row r="205" spans="1:10" x14ac:dyDescent="0.35">
      <c r="A205" s="4">
        <v>204</v>
      </c>
      <c r="B205" s="4">
        <v>40</v>
      </c>
      <c r="C205" s="4" t="str">
        <f>IF(Table1[[#This Row],[age]]&lt;25,"18-24",IF(Table1[[#This Row],[age]]&lt;35,"25-34",IF(Table1[[#This Row],[age]]&lt;45,"35-44","45+")))</f>
        <v>35-44</v>
      </c>
      <c r="D205" s="5">
        <v>60000</v>
      </c>
      <c r="E205" s="5" t="str">
        <f>IF(Table1[[#This Row],[annual_income]]&lt;40000,"Low",IF(Table1[[#This Row],[annual_income]]&lt;60000,"Medium","High"))</f>
        <v>High</v>
      </c>
      <c r="F205" s="6">
        <v>450</v>
      </c>
      <c r="G205" s="4">
        <v>7.2</v>
      </c>
      <c r="H205" s="4" t="str">
        <f>IF(Table1[[#This Row],[loyaltyscore]]&gt;=8,"High Value",IF(Table1[[#This Row],[loyaltyscore]]&gt;=5,"Medium Value","Low Value"))</f>
        <v>Medium Value</v>
      </c>
      <c r="I205" s="4" t="s">
        <v>5</v>
      </c>
      <c r="J205" s="4">
        <v>20</v>
      </c>
    </row>
    <row r="206" spans="1:10" x14ac:dyDescent="0.35">
      <c r="A206" s="4">
        <v>205</v>
      </c>
      <c r="B206" s="4">
        <v>38</v>
      </c>
      <c r="C206" s="4" t="str">
        <f>IF(Table1[[#This Row],[age]]&lt;25,"18-24",IF(Table1[[#This Row],[age]]&lt;35,"25-34",IF(Table1[[#This Row],[age]]&lt;45,"35-44","45+")))</f>
        <v>35-44</v>
      </c>
      <c r="D206" s="5">
        <v>59000</v>
      </c>
      <c r="E206" s="5" t="str">
        <f>IF(Table1[[#This Row],[annual_income]]&lt;40000,"Low",IF(Table1[[#This Row],[annual_income]]&lt;60000,"Medium","High"))</f>
        <v>Medium</v>
      </c>
      <c r="F206" s="6">
        <v>430</v>
      </c>
      <c r="G206" s="4">
        <v>6.9</v>
      </c>
      <c r="H206" s="4" t="str">
        <f>IF(Table1[[#This Row],[loyaltyscore]]&gt;=8,"High Value",IF(Table1[[#This Row],[loyaltyscore]]&gt;=5,"Medium Value","Low Value"))</f>
        <v>Medium Value</v>
      </c>
      <c r="I206" s="4" t="s">
        <v>3</v>
      </c>
      <c r="J206" s="4">
        <v>20</v>
      </c>
    </row>
    <row r="207" spans="1:10" x14ac:dyDescent="0.35">
      <c r="A207" s="4">
        <v>206</v>
      </c>
      <c r="B207" s="4">
        <v>54</v>
      </c>
      <c r="C207" s="4" t="str">
        <f>IF(Table1[[#This Row],[age]]&lt;25,"18-24",IF(Table1[[#This Row],[age]]&lt;35,"25-34",IF(Table1[[#This Row],[age]]&lt;45,"35-44","45+")))</f>
        <v>45+</v>
      </c>
      <c r="D207" s="5">
        <v>74000</v>
      </c>
      <c r="E207" s="5" t="str">
        <f>IF(Table1[[#This Row],[annual_income]]&lt;40000,"Low",IF(Table1[[#This Row],[annual_income]]&lt;60000,"Medium","High"))</f>
        <v>High</v>
      </c>
      <c r="F207" s="6">
        <v>630</v>
      </c>
      <c r="G207" s="4">
        <v>9.4</v>
      </c>
      <c r="H207" s="4" t="str">
        <f>IF(Table1[[#This Row],[loyaltyscore]]&gt;=8,"High Value",IF(Table1[[#This Row],[loyaltyscore]]&gt;=5,"Medium Value","Low Value"))</f>
        <v>High Value</v>
      </c>
      <c r="I207" s="4" t="s">
        <v>4</v>
      </c>
      <c r="J207" s="4">
        <v>27</v>
      </c>
    </row>
    <row r="208" spans="1:10" x14ac:dyDescent="0.35">
      <c r="A208" s="4">
        <v>207</v>
      </c>
      <c r="B208" s="4">
        <v>32</v>
      </c>
      <c r="C208" s="4" t="str">
        <f>IF(Table1[[#This Row],[age]]&lt;25,"18-24",IF(Table1[[#This Row],[age]]&lt;35,"25-34",IF(Table1[[#This Row],[age]]&lt;45,"35-44","45+")))</f>
        <v>25-34</v>
      </c>
      <c r="D208" s="5">
        <v>52000</v>
      </c>
      <c r="E208" s="5" t="str">
        <f>IF(Table1[[#This Row],[annual_income]]&lt;40000,"Low",IF(Table1[[#This Row],[annual_income]]&lt;60000,"Medium","High"))</f>
        <v>Medium</v>
      </c>
      <c r="F208" s="6">
        <v>360</v>
      </c>
      <c r="G208" s="4">
        <v>5.8</v>
      </c>
      <c r="H208" s="4" t="str">
        <f>IF(Table1[[#This Row],[loyaltyscore]]&gt;=8,"High Value",IF(Table1[[#This Row],[loyaltyscore]]&gt;=5,"Medium Value","Low Value"))</f>
        <v>Medium Value</v>
      </c>
      <c r="I208" s="4" t="s">
        <v>5</v>
      </c>
      <c r="J208" s="4">
        <v>18</v>
      </c>
    </row>
    <row r="209" spans="1:10" x14ac:dyDescent="0.35">
      <c r="A209" s="4">
        <v>208</v>
      </c>
      <c r="B209" s="4">
        <v>31</v>
      </c>
      <c r="C209" s="4" t="str">
        <f>IF(Table1[[#This Row],[age]]&lt;25,"18-24",IF(Table1[[#This Row],[age]]&lt;35,"25-34",IF(Table1[[#This Row],[age]]&lt;45,"35-44","45+")))</f>
        <v>25-34</v>
      </c>
      <c r="D209" s="5">
        <v>51000</v>
      </c>
      <c r="E209" s="5" t="str">
        <f>IF(Table1[[#This Row],[annual_income]]&lt;40000,"Low",IF(Table1[[#This Row],[annual_income]]&lt;60000,"Medium","High"))</f>
        <v>Medium</v>
      </c>
      <c r="F209" s="6">
        <v>340</v>
      </c>
      <c r="G209" s="4">
        <v>5.6</v>
      </c>
      <c r="H209" s="4" t="str">
        <f>IF(Table1[[#This Row],[loyaltyscore]]&gt;=8,"High Value",IF(Table1[[#This Row],[loyaltyscore]]&gt;=5,"Medium Value","Low Value"))</f>
        <v>Medium Value</v>
      </c>
      <c r="I209" s="4" t="s">
        <v>3</v>
      </c>
      <c r="J209" s="4">
        <v>17</v>
      </c>
    </row>
    <row r="210" spans="1:10" x14ac:dyDescent="0.35">
      <c r="A210" s="4">
        <v>209</v>
      </c>
      <c r="B210" s="4">
        <v>42</v>
      </c>
      <c r="C210" s="4" t="str">
        <f>IF(Table1[[#This Row],[age]]&lt;25,"18-24",IF(Table1[[#This Row],[age]]&lt;35,"25-34",IF(Table1[[#This Row],[age]]&lt;45,"35-44","45+")))</f>
        <v>35-44</v>
      </c>
      <c r="D210" s="5">
        <v>62000</v>
      </c>
      <c r="E210" s="5" t="str">
        <f>IF(Table1[[#This Row],[annual_income]]&lt;40000,"Low",IF(Table1[[#This Row],[annual_income]]&lt;60000,"Medium","High"))</f>
        <v>High</v>
      </c>
      <c r="F210" s="6">
        <v>520</v>
      </c>
      <c r="G210" s="4">
        <v>8.1999999999999993</v>
      </c>
      <c r="H210" s="4" t="str">
        <f>IF(Table1[[#This Row],[loyaltyscore]]&gt;=8,"High Value",IF(Table1[[#This Row],[loyaltyscore]]&gt;=5,"Medium Value","Low Value"))</f>
        <v>High Value</v>
      </c>
      <c r="I210" s="4" t="s">
        <v>4</v>
      </c>
      <c r="J210" s="4">
        <v>23</v>
      </c>
    </row>
    <row r="211" spans="1:10" x14ac:dyDescent="0.35">
      <c r="A211" s="4">
        <v>210</v>
      </c>
      <c r="B211" s="4">
        <v>55</v>
      </c>
      <c r="C211" s="4" t="str">
        <f>IF(Table1[[#This Row],[age]]&lt;25,"18-24",IF(Table1[[#This Row],[age]]&lt;35,"25-34",IF(Table1[[#This Row],[age]]&lt;45,"35-44","45+")))</f>
        <v>45+</v>
      </c>
      <c r="D211" s="5">
        <v>75000</v>
      </c>
      <c r="E211" s="5" t="str">
        <f>IF(Table1[[#This Row],[annual_income]]&lt;40000,"Low",IF(Table1[[#This Row],[annual_income]]&lt;60000,"Medium","High"))</f>
        <v>High</v>
      </c>
      <c r="F211" s="6">
        <v>640</v>
      </c>
      <c r="G211" s="4">
        <v>9.5</v>
      </c>
      <c r="H211" s="4" t="str">
        <f>IF(Table1[[#This Row],[loyaltyscore]]&gt;=8,"High Value",IF(Table1[[#This Row],[loyaltyscore]]&gt;=5,"Medium Value","Low Value"))</f>
        <v>High Value</v>
      </c>
      <c r="I211" s="4" t="s">
        <v>5</v>
      </c>
      <c r="J211" s="4">
        <v>28</v>
      </c>
    </row>
    <row r="212" spans="1:10" x14ac:dyDescent="0.35">
      <c r="A212" s="4">
        <v>211</v>
      </c>
      <c r="B212" s="4">
        <v>29</v>
      </c>
      <c r="C212" s="4" t="str">
        <f>IF(Table1[[#This Row],[age]]&lt;25,"18-24",IF(Table1[[#This Row],[age]]&lt;35,"25-34",IF(Table1[[#This Row],[age]]&lt;45,"35-44","45+")))</f>
        <v>25-34</v>
      </c>
      <c r="D212" s="5">
        <v>46000</v>
      </c>
      <c r="E212" s="5" t="str">
        <f>IF(Table1[[#This Row],[annual_income]]&lt;40000,"Low",IF(Table1[[#This Row],[annual_income]]&lt;60000,"Medium","High"))</f>
        <v>Medium</v>
      </c>
      <c r="F212" s="6">
        <v>270</v>
      </c>
      <c r="G212" s="4">
        <v>4.3</v>
      </c>
      <c r="H212" s="4" t="str">
        <f>IF(Table1[[#This Row],[loyaltyscore]]&gt;=8,"High Value",IF(Table1[[#This Row],[loyaltyscore]]&gt;=5,"Medium Value","Low Value"))</f>
        <v>Low Value</v>
      </c>
      <c r="I212" s="4" t="s">
        <v>3</v>
      </c>
      <c r="J212" s="4">
        <v>15</v>
      </c>
    </row>
    <row r="213" spans="1:10" x14ac:dyDescent="0.35">
      <c r="A213" s="4">
        <v>212</v>
      </c>
      <c r="B213" s="4">
        <v>33</v>
      </c>
      <c r="C213" s="4" t="str">
        <f>IF(Table1[[#This Row],[age]]&lt;25,"18-24",IF(Table1[[#This Row],[age]]&lt;35,"25-34",IF(Table1[[#This Row],[age]]&lt;45,"35-44","45+")))</f>
        <v>25-34</v>
      </c>
      <c r="D213" s="5">
        <v>53000</v>
      </c>
      <c r="E213" s="5" t="str">
        <f>IF(Table1[[#This Row],[annual_income]]&lt;40000,"Low",IF(Table1[[#This Row],[annual_income]]&lt;60000,"Medium","High"))</f>
        <v>Medium</v>
      </c>
      <c r="F213" s="6">
        <v>380</v>
      </c>
      <c r="G213" s="4">
        <v>6</v>
      </c>
      <c r="H213" s="4" t="str">
        <f>IF(Table1[[#This Row],[loyaltyscore]]&gt;=8,"High Value",IF(Table1[[#This Row],[loyaltyscore]]&gt;=5,"Medium Value","Low Value"))</f>
        <v>Medium Value</v>
      </c>
      <c r="I213" s="4" t="s">
        <v>4</v>
      </c>
      <c r="J213" s="4">
        <v>18</v>
      </c>
    </row>
    <row r="214" spans="1:10" x14ac:dyDescent="0.35">
      <c r="A214" s="4">
        <v>213</v>
      </c>
      <c r="B214" s="4">
        <v>51</v>
      </c>
      <c r="C214" s="4" t="str">
        <f>IF(Table1[[#This Row],[age]]&lt;25,"18-24",IF(Table1[[#This Row],[age]]&lt;35,"25-34",IF(Table1[[#This Row],[age]]&lt;45,"35-44","45+")))</f>
        <v>45+</v>
      </c>
      <c r="D214" s="5">
        <v>71000</v>
      </c>
      <c r="E214" s="5" t="str">
        <f>IF(Table1[[#This Row],[annual_income]]&lt;40000,"Low",IF(Table1[[#This Row],[annual_income]]&lt;60000,"Medium","High"))</f>
        <v>High</v>
      </c>
      <c r="F214" s="6">
        <v>600</v>
      </c>
      <c r="G214" s="4">
        <v>9</v>
      </c>
      <c r="H214" s="4" t="str">
        <f>IF(Table1[[#This Row],[loyaltyscore]]&gt;=8,"High Value",IF(Table1[[#This Row],[loyaltyscore]]&gt;=5,"Medium Value","Low Value"))</f>
        <v>High Value</v>
      </c>
      <c r="I214" s="4" t="s">
        <v>5</v>
      </c>
      <c r="J214" s="4">
        <v>25</v>
      </c>
    </row>
    <row r="215" spans="1:10" x14ac:dyDescent="0.35">
      <c r="A215" s="4">
        <v>214</v>
      </c>
      <c r="B215" s="4">
        <v>27</v>
      </c>
      <c r="C215" s="4" t="str">
        <f>IF(Table1[[#This Row],[age]]&lt;25,"18-24",IF(Table1[[#This Row],[age]]&lt;35,"25-34",IF(Table1[[#This Row],[age]]&lt;45,"35-44","45+")))</f>
        <v>25-34</v>
      </c>
      <c r="D215" s="5">
        <v>43000</v>
      </c>
      <c r="E215" s="5" t="str">
        <f>IF(Table1[[#This Row],[annual_income]]&lt;40000,"Low",IF(Table1[[#This Row],[annual_income]]&lt;60000,"Medium","High"))</f>
        <v>Medium</v>
      </c>
      <c r="F215" s="6">
        <v>230</v>
      </c>
      <c r="G215" s="4">
        <v>4</v>
      </c>
      <c r="H215" s="4" t="str">
        <f>IF(Table1[[#This Row],[loyaltyscore]]&gt;=8,"High Value",IF(Table1[[#This Row],[loyaltyscore]]&gt;=5,"Medium Value","Low Value"))</f>
        <v>Low Value</v>
      </c>
      <c r="I215" s="4" t="s">
        <v>3</v>
      </c>
      <c r="J215" s="4">
        <v>14</v>
      </c>
    </row>
    <row r="216" spans="1:10" x14ac:dyDescent="0.35">
      <c r="A216" s="4">
        <v>215</v>
      </c>
      <c r="B216" s="4">
        <v>43</v>
      </c>
      <c r="C216" s="4" t="str">
        <f>IF(Table1[[#This Row],[age]]&lt;25,"18-24",IF(Table1[[#This Row],[age]]&lt;35,"25-34",IF(Table1[[#This Row],[age]]&lt;45,"35-44","45+")))</f>
        <v>35-44</v>
      </c>
      <c r="D216" s="5">
        <v>63000</v>
      </c>
      <c r="E216" s="5" t="str">
        <f>IF(Table1[[#This Row],[annual_income]]&lt;40000,"Low",IF(Table1[[#This Row],[annual_income]]&lt;60000,"Medium","High"))</f>
        <v>High</v>
      </c>
      <c r="F216" s="6">
        <v>470</v>
      </c>
      <c r="G216" s="4">
        <v>7.8</v>
      </c>
      <c r="H216" s="4" t="str">
        <f>IF(Table1[[#This Row],[loyaltyscore]]&gt;=8,"High Value",IF(Table1[[#This Row],[loyaltyscore]]&gt;=5,"Medium Value","Low Value"))</f>
        <v>Medium Value</v>
      </c>
      <c r="I216" s="4" t="s">
        <v>4</v>
      </c>
      <c r="J216" s="4">
        <v>21</v>
      </c>
    </row>
    <row r="217" spans="1:10" x14ac:dyDescent="0.35">
      <c r="A217" s="4">
        <v>216</v>
      </c>
      <c r="B217" s="4">
        <v>41</v>
      </c>
      <c r="C217" s="4" t="str">
        <f>IF(Table1[[#This Row],[age]]&lt;25,"18-24",IF(Table1[[#This Row],[age]]&lt;35,"25-34",IF(Table1[[#This Row],[age]]&lt;45,"35-44","45+")))</f>
        <v>35-44</v>
      </c>
      <c r="D217" s="5">
        <v>61000</v>
      </c>
      <c r="E217" s="5" t="str">
        <f>IF(Table1[[#This Row],[annual_income]]&lt;40000,"Low",IF(Table1[[#This Row],[annual_income]]&lt;60000,"Medium","High"))</f>
        <v>High</v>
      </c>
      <c r="F217" s="6">
        <v>480</v>
      </c>
      <c r="G217" s="4">
        <v>7.7</v>
      </c>
      <c r="H217" s="4" t="str">
        <f>IF(Table1[[#This Row],[loyaltyscore]]&gt;=8,"High Value",IF(Table1[[#This Row],[loyaltyscore]]&gt;=5,"Medium Value","Low Value"))</f>
        <v>Medium Value</v>
      </c>
      <c r="I217" s="4" t="s">
        <v>5</v>
      </c>
      <c r="J217" s="4">
        <v>22</v>
      </c>
    </row>
    <row r="218" spans="1:10" x14ac:dyDescent="0.35">
      <c r="A218" s="4">
        <v>217</v>
      </c>
      <c r="B218" s="4">
        <v>50</v>
      </c>
      <c r="C218" s="4" t="str">
        <f>IF(Table1[[#This Row],[age]]&lt;25,"18-24",IF(Table1[[#This Row],[age]]&lt;35,"25-34",IF(Table1[[#This Row],[age]]&lt;45,"35-44","45+")))</f>
        <v>45+</v>
      </c>
      <c r="D218" s="5">
        <v>70000</v>
      </c>
      <c r="E218" s="5" t="str">
        <f>IF(Table1[[#This Row],[annual_income]]&lt;40000,"Low",IF(Table1[[#This Row],[annual_income]]&lt;60000,"Medium","High"))</f>
        <v>High</v>
      </c>
      <c r="F218" s="6">
        <v>600</v>
      </c>
      <c r="G218" s="4">
        <v>9</v>
      </c>
      <c r="H218" s="4" t="str">
        <f>IF(Table1[[#This Row],[loyaltyscore]]&gt;=8,"High Value",IF(Table1[[#This Row],[loyaltyscore]]&gt;=5,"Medium Value","Low Value"))</f>
        <v>High Value</v>
      </c>
      <c r="I218" s="4" t="s">
        <v>3</v>
      </c>
      <c r="J218" s="4">
        <v>25</v>
      </c>
    </row>
    <row r="219" spans="1:10" x14ac:dyDescent="0.35">
      <c r="A219" s="4">
        <v>218</v>
      </c>
      <c r="B219" s="4">
        <v>24</v>
      </c>
      <c r="C219" s="4" t="str">
        <f>IF(Table1[[#This Row],[age]]&lt;25,"18-24",IF(Table1[[#This Row],[age]]&lt;35,"25-34",IF(Table1[[#This Row],[age]]&lt;45,"35-44","45+")))</f>
        <v>18-24</v>
      </c>
      <c r="D219" s="5">
        <v>32000</v>
      </c>
      <c r="E219" s="5" t="str">
        <f>IF(Table1[[#This Row],[annual_income]]&lt;40000,"Low",IF(Table1[[#This Row],[annual_income]]&lt;60000,"Medium","High"))</f>
        <v>Low</v>
      </c>
      <c r="F219" s="6">
        <v>170</v>
      </c>
      <c r="G219" s="4">
        <v>3.3</v>
      </c>
      <c r="H219" s="4" t="str">
        <f>IF(Table1[[#This Row],[loyaltyscore]]&gt;=8,"High Value",IF(Table1[[#This Row],[loyaltyscore]]&gt;=5,"Medium Value","Low Value"))</f>
        <v>Low Value</v>
      </c>
      <c r="I219" s="4" t="s">
        <v>4</v>
      </c>
      <c r="J219" s="4">
        <v>11</v>
      </c>
    </row>
    <row r="220" spans="1:10" x14ac:dyDescent="0.35">
      <c r="A220" s="4">
        <v>219</v>
      </c>
      <c r="B220" s="4">
        <v>48</v>
      </c>
      <c r="C220" s="4" t="str">
        <f>IF(Table1[[#This Row],[age]]&lt;25,"18-24",IF(Table1[[#This Row],[age]]&lt;35,"25-34",IF(Table1[[#This Row],[age]]&lt;45,"35-44","45+")))</f>
        <v>45+</v>
      </c>
      <c r="D220" s="5">
        <v>68000</v>
      </c>
      <c r="E220" s="5" t="str">
        <f>IF(Table1[[#This Row],[annual_income]]&lt;40000,"Low",IF(Table1[[#This Row],[annual_income]]&lt;60000,"Medium","High"))</f>
        <v>High</v>
      </c>
      <c r="F220" s="6">
        <v>550</v>
      </c>
      <c r="G220" s="4">
        <v>8.5</v>
      </c>
      <c r="H220" s="4" t="str">
        <f>IF(Table1[[#This Row],[loyaltyscore]]&gt;=8,"High Value",IF(Table1[[#This Row],[loyaltyscore]]&gt;=5,"Medium Value","Low Value"))</f>
        <v>High Value</v>
      </c>
      <c r="I220" s="4" t="s">
        <v>5</v>
      </c>
      <c r="J220" s="4">
        <v>24</v>
      </c>
    </row>
    <row r="221" spans="1:10" x14ac:dyDescent="0.35">
      <c r="A221" s="4">
        <v>220</v>
      </c>
      <c r="B221" s="4">
        <v>30</v>
      </c>
      <c r="C221" s="4" t="str">
        <f>IF(Table1[[#This Row],[age]]&lt;25,"18-24",IF(Table1[[#This Row],[age]]&lt;35,"25-34",IF(Table1[[#This Row],[age]]&lt;45,"35-44","45+")))</f>
        <v>25-34</v>
      </c>
      <c r="D221" s="5">
        <v>49000</v>
      </c>
      <c r="E221" s="5" t="str">
        <f>IF(Table1[[#This Row],[annual_income]]&lt;40000,"Low",IF(Table1[[#This Row],[annual_income]]&lt;60000,"Medium","High"))</f>
        <v>Medium</v>
      </c>
      <c r="F221" s="6">
        <v>300</v>
      </c>
      <c r="G221" s="4">
        <v>5</v>
      </c>
      <c r="H221" s="4" t="str">
        <f>IF(Table1[[#This Row],[loyaltyscore]]&gt;=8,"High Value",IF(Table1[[#This Row],[loyaltyscore]]&gt;=5,"Medium Value","Low Value"))</f>
        <v>Medium Value</v>
      </c>
      <c r="I221" s="4" t="s">
        <v>3</v>
      </c>
      <c r="J221" s="4">
        <v>16</v>
      </c>
    </row>
    <row r="222" spans="1:10" x14ac:dyDescent="0.35">
      <c r="A222" s="4">
        <v>221</v>
      </c>
      <c r="B222" s="4">
        <v>39</v>
      </c>
      <c r="C222" s="4" t="str">
        <f>IF(Table1[[#This Row],[age]]&lt;25,"18-24",IF(Table1[[#This Row],[age]]&lt;35,"25-34",IF(Table1[[#This Row],[age]]&lt;45,"35-44","45+")))</f>
        <v>35-44</v>
      </c>
      <c r="D222" s="5">
        <v>57000</v>
      </c>
      <c r="E222" s="5" t="str">
        <f>IF(Table1[[#This Row],[annual_income]]&lt;40000,"Low",IF(Table1[[#This Row],[annual_income]]&lt;60000,"Medium","High"))</f>
        <v>Medium</v>
      </c>
      <c r="F222" s="6">
        <v>440</v>
      </c>
      <c r="G222" s="4">
        <v>7</v>
      </c>
      <c r="H222" s="4" t="str">
        <f>IF(Table1[[#This Row],[loyaltyscore]]&gt;=8,"High Value",IF(Table1[[#This Row],[loyaltyscore]]&gt;=5,"Medium Value","Low Value"))</f>
        <v>Medium Value</v>
      </c>
      <c r="I222" s="4" t="s">
        <v>4</v>
      </c>
      <c r="J222" s="4">
        <v>21</v>
      </c>
    </row>
    <row r="223" spans="1:10" x14ac:dyDescent="0.35">
      <c r="A223" s="4">
        <v>222</v>
      </c>
      <c r="B223" s="4">
        <v>37</v>
      </c>
      <c r="C223" s="4" t="str">
        <f>IF(Table1[[#This Row],[age]]&lt;25,"18-24",IF(Table1[[#This Row],[age]]&lt;35,"25-34",IF(Table1[[#This Row],[age]]&lt;45,"35-44","45+")))</f>
        <v>35-44</v>
      </c>
      <c r="D223" s="5">
        <v>58000</v>
      </c>
      <c r="E223" s="5" t="str">
        <f>IF(Table1[[#This Row],[annual_income]]&lt;40000,"Low",IF(Table1[[#This Row],[annual_income]]&lt;60000,"Medium","High"))</f>
        <v>Medium</v>
      </c>
      <c r="F223" s="6">
        <v>420</v>
      </c>
      <c r="G223" s="4">
        <v>6.8</v>
      </c>
      <c r="H223" s="4" t="str">
        <f>IF(Table1[[#This Row],[loyaltyscore]]&gt;=8,"High Value",IF(Table1[[#This Row],[loyaltyscore]]&gt;=5,"Medium Value","Low Value"))</f>
        <v>Medium Value</v>
      </c>
      <c r="I223" s="4" t="s">
        <v>5</v>
      </c>
      <c r="J223" s="4">
        <v>20</v>
      </c>
    </row>
    <row r="224" spans="1:10" x14ac:dyDescent="0.35">
      <c r="A224" s="4">
        <v>223</v>
      </c>
      <c r="B224" s="4">
        <v>46</v>
      </c>
      <c r="C224" s="4" t="str">
        <f>IF(Table1[[#This Row],[age]]&lt;25,"18-24",IF(Table1[[#This Row],[age]]&lt;35,"25-34",IF(Table1[[#This Row],[age]]&lt;45,"35-44","45+")))</f>
        <v>45+</v>
      </c>
      <c r="D224" s="5">
        <v>66000</v>
      </c>
      <c r="E224" s="5" t="str">
        <f>IF(Table1[[#This Row],[annual_income]]&lt;40000,"Low",IF(Table1[[#This Row],[annual_income]]&lt;60000,"Medium","High"))</f>
        <v>High</v>
      </c>
      <c r="F224" s="6">
        <v>510</v>
      </c>
      <c r="G224" s="4">
        <v>8.1</v>
      </c>
      <c r="H224" s="4" t="str">
        <f>IF(Table1[[#This Row],[loyaltyscore]]&gt;=8,"High Value",IF(Table1[[#This Row],[loyaltyscore]]&gt;=5,"Medium Value","Low Value"))</f>
        <v>High Value</v>
      </c>
      <c r="I224" s="4" t="s">
        <v>3</v>
      </c>
      <c r="J224" s="4">
        <v>22</v>
      </c>
    </row>
    <row r="225" spans="1:10" x14ac:dyDescent="0.35">
      <c r="A225" s="4">
        <v>224</v>
      </c>
      <c r="B225" s="4">
        <v>33</v>
      </c>
      <c r="C225" s="4" t="str">
        <f>IF(Table1[[#This Row],[age]]&lt;25,"18-24",IF(Table1[[#This Row],[age]]&lt;35,"25-34",IF(Table1[[#This Row],[age]]&lt;45,"35-44","45+")))</f>
        <v>25-34</v>
      </c>
      <c r="D225" s="5">
        <v>53000</v>
      </c>
      <c r="E225" s="5" t="str">
        <f>IF(Table1[[#This Row],[annual_income]]&lt;40000,"Low",IF(Table1[[#This Row],[annual_income]]&lt;60000,"Medium","High"))</f>
        <v>Medium</v>
      </c>
      <c r="F225" s="6">
        <v>380</v>
      </c>
      <c r="G225" s="4">
        <v>6</v>
      </c>
      <c r="H225" s="4" t="str">
        <f>IF(Table1[[#This Row],[loyaltyscore]]&gt;=8,"High Value",IF(Table1[[#This Row],[loyaltyscore]]&gt;=5,"Medium Value","Low Value"))</f>
        <v>Medium Value</v>
      </c>
      <c r="I225" s="4" t="s">
        <v>4</v>
      </c>
      <c r="J225" s="4">
        <v>18</v>
      </c>
    </row>
    <row r="226" spans="1:10" x14ac:dyDescent="0.35">
      <c r="A226" s="4">
        <v>225</v>
      </c>
      <c r="B226" s="4">
        <v>52</v>
      </c>
      <c r="C226" s="4" t="str">
        <f>IF(Table1[[#This Row],[age]]&lt;25,"18-24",IF(Table1[[#This Row],[age]]&lt;35,"25-34",IF(Table1[[#This Row],[age]]&lt;45,"35-44","45+")))</f>
        <v>45+</v>
      </c>
      <c r="D226" s="5">
        <v>72000</v>
      </c>
      <c r="E226" s="5" t="str">
        <f>IF(Table1[[#This Row],[annual_income]]&lt;40000,"Low",IF(Table1[[#This Row],[annual_income]]&lt;60000,"Medium","High"))</f>
        <v>High</v>
      </c>
      <c r="F226" s="6">
        <v>610</v>
      </c>
      <c r="G226" s="4">
        <v>9.1999999999999993</v>
      </c>
      <c r="H226" s="4" t="str">
        <f>IF(Table1[[#This Row],[loyaltyscore]]&gt;=8,"High Value",IF(Table1[[#This Row],[loyaltyscore]]&gt;=5,"Medium Value","Low Value"))</f>
        <v>High Value</v>
      </c>
      <c r="I226" s="4" t="s">
        <v>5</v>
      </c>
      <c r="J226" s="4">
        <v>26</v>
      </c>
    </row>
    <row r="227" spans="1:10" x14ac:dyDescent="0.35">
      <c r="A227" s="4">
        <v>226</v>
      </c>
      <c r="B227" s="4">
        <v>28</v>
      </c>
      <c r="C227" s="4" t="str">
        <f>IF(Table1[[#This Row],[age]]&lt;25,"18-24",IF(Table1[[#This Row],[age]]&lt;35,"25-34",IF(Table1[[#This Row],[age]]&lt;45,"35-44","45+")))</f>
        <v>25-34</v>
      </c>
      <c r="D227" s="5">
        <v>46000</v>
      </c>
      <c r="E227" s="5" t="str">
        <f>IF(Table1[[#This Row],[annual_income]]&lt;40000,"Low",IF(Table1[[#This Row],[annual_income]]&lt;60000,"Medium","High"))</f>
        <v>Medium</v>
      </c>
      <c r="F227" s="6">
        <v>250</v>
      </c>
      <c r="G227" s="4">
        <v>4.2</v>
      </c>
      <c r="H227" s="4" t="str">
        <f>IF(Table1[[#This Row],[loyaltyscore]]&gt;=8,"High Value",IF(Table1[[#This Row],[loyaltyscore]]&gt;=5,"Medium Value","Low Value"))</f>
        <v>Low Value</v>
      </c>
      <c r="I227" s="4" t="s">
        <v>3</v>
      </c>
      <c r="J227" s="4">
        <v>14</v>
      </c>
    </row>
    <row r="228" spans="1:10" x14ac:dyDescent="0.35">
      <c r="A228" s="4">
        <v>227</v>
      </c>
      <c r="B228" s="4">
        <v>41</v>
      </c>
      <c r="C228" s="4" t="str">
        <f>IF(Table1[[#This Row],[age]]&lt;25,"18-24",IF(Table1[[#This Row],[age]]&lt;35,"25-34",IF(Table1[[#This Row],[age]]&lt;45,"35-44","45+")))</f>
        <v>35-44</v>
      </c>
      <c r="D228" s="5">
        <v>61000</v>
      </c>
      <c r="E228" s="5" t="str">
        <f>IF(Table1[[#This Row],[annual_income]]&lt;40000,"Low",IF(Table1[[#This Row],[annual_income]]&lt;60000,"Medium","High"))</f>
        <v>High</v>
      </c>
      <c r="F228" s="6">
        <v>480</v>
      </c>
      <c r="G228" s="4">
        <v>7.8</v>
      </c>
      <c r="H228" s="4" t="str">
        <f>IF(Table1[[#This Row],[loyaltyscore]]&gt;=8,"High Value",IF(Table1[[#This Row],[loyaltyscore]]&gt;=5,"Medium Value","Low Value"))</f>
        <v>Medium Value</v>
      </c>
      <c r="I228" s="4" t="s">
        <v>4</v>
      </c>
      <c r="J228" s="4">
        <v>21</v>
      </c>
    </row>
    <row r="229" spans="1:10" x14ac:dyDescent="0.35">
      <c r="A229" s="4">
        <v>228</v>
      </c>
      <c r="B229" s="4">
        <v>50</v>
      </c>
      <c r="C229" s="4" t="str">
        <f>IF(Table1[[#This Row],[age]]&lt;25,"18-24",IF(Table1[[#This Row],[age]]&lt;35,"25-34",IF(Table1[[#This Row],[age]]&lt;45,"35-44","45+")))</f>
        <v>45+</v>
      </c>
      <c r="D229" s="5">
        <v>70000</v>
      </c>
      <c r="E229" s="5" t="str">
        <f>IF(Table1[[#This Row],[annual_income]]&lt;40000,"Low",IF(Table1[[#This Row],[annual_income]]&lt;60000,"Medium","High"))</f>
        <v>High</v>
      </c>
      <c r="F229" s="6">
        <v>600</v>
      </c>
      <c r="G229" s="4">
        <v>9</v>
      </c>
      <c r="H229" s="4" t="str">
        <f>IF(Table1[[#This Row],[loyaltyscore]]&gt;=8,"High Value",IF(Table1[[#This Row],[loyaltyscore]]&gt;=5,"Medium Value","Low Value"))</f>
        <v>High Value</v>
      </c>
      <c r="I229" s="4" t="s">
        <v>5</v>
      </c>
      <c r="J229" s="4">
        <v>25</v>
      </c>
    </row>
    <row r="230" spans="1:10" x14ac:dyDescent="0.35">
      <c r="A230" s="4">
        <v>229</v>
      </c>
      <c r="B230" s="4">
        <v>36</v>
      </c>
      <c r="C230" s="4" t="str">
        <f>IF(Table1[[#This Row],[age]]&lt;25,"18-24",IF(Table1[[#This Row],[age]]&lt;35,"25-34",IF(Table1[[#This Row],[age]]&lt;45,"35-44","45+")))</f>
        <v>35-44</v>
      </c>
      <c r="D230" s="5">
        <v>54000</v>
      </c>
      <c r="E230" s="5" t="str">
        <f>IF(Table1[[#This Row],[annual_income]]&lt;40000,"Low",IF(Table1[[#This Row],[annual_income]]&lt;60000,"Medium","High"))</f>
        <v>Medium</v>
      </c>
      <c r="F230" s="6">
        <v>400</v>
      </c>
      <c r="G230" s="4">
        <v>6.5</v>
      </c>
      <c r="H230" s="4" t="str">
        <f>IF(Table1[[#This Row],[loyaltyscore]]&gt;=8,"High Value",IF(Table1[[#This Row],[loyaltyscore]]&gt;=5,"Medium Value","Low Value"))</f>
        <v>Medium Value</v>
      </c>
      <c r="I230" s="4" t="s">
        <v>3</v>
      </c>
      <c r="J230" s="4">
        <v>19</v>
      </c>
    </row>
    <row r="231" spans="1:10" x14ac:dyDescent="0.35">
      <c r="A231" s="4">
        <v>230</v>
      </c>
      <c r="B231" s="4">
        <v>24</v>
      </c>
      <c r="C231" s="4" t="str">
        <f>IF(Table1[[#This Row],[age]]&lt;25,"18-24",IF(Table1[[#This Row],[age]]&lt;35,"25-34",IF(Table1[[#This Row],[age]]&lt;45,"35-44","45+")))</f>
        <v>18-24</v>
      </c>
      <c r="D231" s="5">
        <v>32000</v>
      </c>
      <c r="E231" s="5" t="str">
        <f>IF(Table1[[#This Row],[annual_income]]&lt;40000,"Low",IF(Table1[[#This Row],[annual_income]]&lt;60000,"Medium","High"))</f>
        <v>Low</v>
      </c>
      <c r="F231" s="6">
        <v>170</v>
      </c>
      <c r="G231" s="4">
        <v>3.3</v>
      </c>
      <c r="H231" s="4" t="str">
        <f>IF(Table1[[#This Row],[loyaltyscore]]&gt;=8,"High Value",IF(Table1[[#This Row],[loyaltyscore]]&gt;=5,"Medium Value","Low Value"))</f>
        <v>Low Value</v>
      </c>
      <c r="I231" s="4" t="s">
        <v>4</v>
      </c>
      <c r="J231" s="4">
        <v>11</v>
      </c>
    </row>
    <row r="232" spans="1:10" x14ac:dyDescent="0.35">
      <c r="A232" s="4">
        <v>231</v>
      </c>
      <c r="B232" s="4">
        <v>49</v>
      </c>
      <c r="C232" s="4" t="str">
        <f>IF(Table1[[#This Row],[age]]&lt;25,"18-24",IF(Table1[[#This Row],[age]]&lt;35,"25-34",IF(Table1[[#This Row],[age]]&lt;45,"35-44","45+")))</f>
        <v>45+</v>
      </c>
      <c r="D232" s="5">
        <v>69000</v>
      </c>
      <c r="E232" s="5" t="str">
        <f>IF(Table1[[#This Row],[annual_income]]&lt;40000,"Low",IF(Table1[[#This Row],[annual_income]]&lt;60000,"Medium","High"))</f>
        <v>High</v>
      </c>
      <c r="F232" s="6">
        <v>590</v>
      </c>
      <c r="G232" s="4">
        <v>8.9</v>
      </c>
      <c r="H232" s="4" t="str">
        <f>IF(Table1[[#This Row],[loyaltyscore]]&gt;=8,"High Value",IF(Table1[[#This Row],[loyaltyscore]]&gt;=5,"Medium Value","Low Value"))</f>
        <v>High Value</v>
      </c>
      <c r="I232" s="4" t="s">
        <v>5</v>
      </c>
      <c r="J232" s="4">
        <v>24</v>
      </c>
    </row>
    <row r="233" spans="1:10" x14ac:dyDescent="0.35">
      <c r="A233" s="4">
        <v>232</v>
      </c>
      <c r="B233" s="4">
        <v>26</v>
      </c>
      <c r="C233" s="4" t="str">
        <f>IF(Table1[[#This Row],[age]]&lt;25,"18-24",IF(Table1[[#This Row],[age]]&lt;35,"25-34",IF(Table1[[#This Row],[age]]&lt;45,"35-44","45+")))</f>
        <v>25-34</v>
      </c>
      <c r="D233" s="5">
        <v>44000</v>
      </c>
      <c r="E233" s="5" t="str">
        <f>IF(Table1[[#This Row],[annual_income]]&lt;40000,"Low",IF(Table1[[#This Row],[annual_income]]&lt;60000,"Medium","High"))</f>
        <v>Medium</v>
      </c>
      <c r="F233" s="6">
        <v>240</v>
      </c>
      <c r="G233" s="4">
        <v>4.3</v>
      </c>
      <c r="H233" s="4" t="str">
        <f>IF(Table1[[#This Row],[loyaltyscore]]&gt;=8,"High Value",IF(Table1[[#This Row],[loyaltyscore]]&gt;=5,"Medium Value","Low Value"))</f>
        <v>Low Value</v>
      </c>
      <c r="I233" s="4" t="s">
        <v>3</v>
      </c>
      <c r="J233" s="4">
        <v>14</v>
      </c>
    </row>
    <row r="234" spans="1:10" x14ac:dyDescent="0.35">
      <c r="A234" s="4">
        <v>233</v>
      </c>
      <c r="B234" s="4">
        <v>45</v>
      </c>
      <c r="C234" s="4" t="str">
        <f>IF(Table1[[#This Row],[age]]&lt;25,"18-24",IF(Table1[[#This Row],[age]]&lt;35,"25-34",IF(Table1[[#This Row],[age]]&lt;45,"35-44","45+")))</f>
        <v>45+</v>
      </c>
      <c r="D234" s="5">
        <v>65000</v>
      </c>
      <c r="E234" s="5" t="str">
        <f>IF(Table1[[#This Row],[annual_income]]&lt;40000,"Low",IF(Table1[[#This Row],[annual_income]]&lt;60000,"Medium","High"))</f>
        <v>High</v>
      </c>
      <c r="F234" s="6">
        <v>500</v>
      </c>
      <c r="G234" s="4">
        <v>8</v>
      </c>
      <c r="H234" s="4" t="str">
        <f>IF(Table1[[#This Row],[loyaltyscore]]&gt;=8,"High Value",IF(Table1[[#This Row],[loyaltyscore]]&gt;=5,"Medium Value","Low Value"))</f>
        <v>High Value</v>
      </c>
      <c r="I234" s="4" t="s">
        <v>4</v>
      </c>
      <c r="J234" s="4">
        <v>22</v>
      </c>
    </row>
    <row r="235" spans="1:10" x14ac:dyDescent="0.35">
      <c r="A235" s="4">
        <v>234</v>
      </c>
      <c r="B235" s="4">
        <v>40</v>
      </c>
      <c r="C235" s="4" t="str">
        <f>IF(Table1[[#This Row],[age]]&lt;25,"18-24",IF(Table1[[#This Row],[age]]&lt;35,"25-34",IF(Table1[[#This Row],[age]]&lt;45,"35-44","45+")))</f>
        <v>35-44</v>
      </c>
      <c r="D235" s="5">
        <v>60000</v>
      </c>
      <c r="E235" s="5" t="str">
        <f>IF(Table1[[#This Row],[annual_income]]&lt;40000,"Low",IF(Table1[[#This Row],[annual_income]]&lt;60000,"Medium","High"))</f>
        <v>High</v>
      </c>
      <c r="F235" s="6">
        <v>450</v>
      </c>
      <c r="G235" s="4">
        <v>7.2</v>
      </c>
      <c r="H235" s="4" t="str">
        <f>IF(Table1[[#This Row],[loyaltyscore]]&gt;=8,"High Value",IF(Table1[[#This Row],[loyaltyscore]]&gt;=5,"Medium Value","Low Value"))</f>
        <v>Medium Value</v>
      </c>
      <c r="I235" s="4" t="s">
        <v>5</v>
      </c>
      <c r="J235" s="4">
        <v>20</v>
      </c>
    </row>
    <row r="236" spans="1:10" x14ac:dyDescent="0.35">
      <c r="A236" s="4">
        <v>235</v>
      </c>
      <c r="B236" s="4">
        <v>38</v>
      </c>
      <c r="C236" s="4" t="str">
        <f>IF(Table1[[#This Row],[age]]&lt;25,"18-24",IF(Table1[[#This Row],[age]]&lt;35,"25-34",IF(Table1[[#This Row],[age]]&lt;45,"35-44","45+")))</f>
        <v>35-44</v>
      </c>
      <c r="D236" s="5">
        <v>59000</v>
      </c>
      <c r="E236" s="5" t="str">
        <f>IF(Table1[[#This Row],[annual_income]]&lt;40000,"Low",IF(Table1[[#This Row],[annual_income]]&lt;60000,"Medium","High"))</f>
        <v>Medium</v>
      </c>
      <c r="F236" s="6">
        <v>430</v>
      </c>
      <c r="G236" s="4">
        <v>6.9</v>
      </c>
      <c r="H236" s="4" t="str">
        <f>IF(Table1[[#This Row],[loyaltyscore]]&gt;=8,"High Value",IF(Table1[[#This Row],[loyaltyscore]]&gt;=5,"Medium Value","Low Value"))</f>
        <v>Medium Value</v>
      </c>
      <c r="I236" s="4" t="s">
        <v>3</v>
      </c>
      <c r="J236" s="4">
        <v>20</v>
      </c>
    </row>
    <row r="237" spans="1:10" x14ac:dyDescent="0.35">
      <c r="A237" s="4">
        <v>236</v>
      </c>
      <c r="B237" s="4">
        <v>54</v>
      </c>
      <c r="C237" s="4" t="str">
        <f>IF(Table1[[#This Row],[age]]&lt;25,"18-24",IF(Table1[[#This Row],[age]]&lt;35,"25-34",IF(Table1[[#This Row],[age]]&lt;45,"35-44","45+")))</f>
        <v>45+</v>
      </c>
      <c r="D237" s="5">
        <v>74000</v>
      </c>
      <c r="E237" s="5" t="str">
        <f>IF(Table1[[#This Row],[annual_income]]&lt;40000,"Low",IF(Table1[[#This Row],[annual_income]]&lt;60000,"Medium","High"))</f>
        <v>High</v>
      </c>
      <c r="F237" s="6">
        <v>630</v>
      </c>
      <c r="G237" s="4">
        <v>9.4</v>
      </c>
      <c r="H237" s="4" t="str">
        <f>IF(Table1[[#This Row],[loyaltyscore]]&gt;=8,"High Value",IF(Table1[[#This Row],[loyaltyscore]]&gt;=5,"Medium Value","Low Value"))</f>
        <v>High Value</v>
      </c>
      <c r="I237" s="4" t="s">
        <v>4</v>
      </c>
      <c r="J237" s="4">
        <v>27</v>
      </c>
    </row>
    <row r="238" spans="1:10" x14ac:dyDescent="0.35">
      <c r="A238" s="4">
        <v>237</v>
      </c>
      <c r="B238" s="4">
        <v>32</v>
      </c>
      <c r="C238" s="4" t="str">
        <f>IF(Table1[[#This Row],[age]]&lt;25,"18-24",IF(Table1[[#This Row],[age]]&lt;35,"25-34",IF(Table1[[#This Row],[age]]&lt;45,"35-44","45+")))</f>
        <v>25-34</v>
      </c>
      <c r="D238" s="5">
        <v>52000</v>
      </c>
      <c r="E238" s="5" t="str">
        <f>IF(Table1[[#This Row],[annual_income]]&lt;40000,"Low",IF(Table1[[#This Row],[annual_income]]&lt;60000,"Medium","High"))</f>
        <v>Medium</v>
      </c>
      <c r="F238" s="6">
        <v>360</v>
      </c>
      <c r="G238" s="4">
        <v>5.8</v>
      </c>
      <c r="H238" s="4" t="str">
        <f>IF(Table1[[#This Row],[loyaltyscore]]&gt;=8,"High Value",IF(Table1[[#This Row],[loyaltyscore]]&gt;=5,"Medium Value","Low Value"))</f>
        <v>Medium Value</v>
      </c>
      <c r="I238" s="4" t="s">
        <v>5</v>
      </c>
      <c r="J238" s="4">
        <v>18</v>
      </c>
    </row>
    <row r="239" spans="1:10" x14ac:dyDescent="0.35">
      <c r="A239" s="4">
        <v>238</v>
      </c>
      <c r="B239" s="4">
        <v>31</v>
      </c>
      <c r="C239" s="4"/>
      <c r="D239" s="5">
        <v>51000</v>
      </c>
      <c r="E239" s="5" t="str">
        <f>IF(Table1[[#This Row],[annual_income]]&lt;40000,"Low",IF(Table1[[#This Row],[annual_income]]&lt;60000,"Medium","High"))</f>
        <v>Medium</v>
      </c>
      <c r="F239" s="6">
        <v>340</v>
      </c>
      <c r="G239" s="4">
        <v>5.6</v>
      </c>
      <c r="H239" s="4" t="str">
        <f>IF(Table1[[#This Row],[loyaltyscore]]&gt;=8,"High Value",IF(Table1[[#This Row],[loyaltyscore]]&gt;=5,"Medium Value","Low Value"))</f>
        <v>Medium Value</v>
      </c>
      <c r="I239" s="4" t="s">
        <v>3</v>
      </c>
      <c r="J239" s="4">
        <v>17</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F9A98-CC6B-4C8E-941A-4F80D7B28C69}">
  <dimension ref="A3:B8"/>
  <sheetViews>
    <sheetView workbookViewId="0">
      <selection activeCell="L9" sqref="L9"/>
    </sheetView>
  </sheetViews>
  <sheetFormatPr defaultRowHeight="14.5" x14ac:dyDescent="0.35"/>
  <cols>
    <col min="1" max="1" width="10.36328125" bestFit="1" customWidth="1"/>
    <col min="2" max="2" width="22.36328125" bestFit="1" customWidth="1"/>
  </cols>
  <sheetData>
    <row r="3" spans="1:2" x14ac:dyDescent="0.35">
      <c r="A3" s="7" t="s">
        <v>34</v>
      </c>
      <c r="B3" t="s">
        <v>33</v>
      </c>
    </row>
    <row r="4" spans="1:2" x14ac:dyDescent="0.35">
      <c r="A4" s="8" t="s">
        <v>6</v>
      </c>
      <c r="B4">
        <v>1920</v>
      </c>
    </row>
    <row r="5" spans="1:2" x14ac:dyDescent="0.35">
      <c r="A5" s="8" t="s">
        <v>3</v>
      </c>
      <c r="B5">
        <v>27970</v>
      </c>
    </row>
    <row r="6" spans="1:2" x14ac:dyDescent="0.35">
      <c r="A6" s="8" t="s">
        <v>4</v>
      </c>
      <c r="B6">
        <v>32100</v>
      </c>
    </row>
    <row r="7" spans="1:2" x14ac:dyDescent="0.35">
      <c r="A7" s="8" t="s">
        <v>5</v>
      </c>
      <c r="B7">
        <v>39310</v>
      </c>
    </row>
    <row r="8" spans="1:2" x14ac:dyDescent="0.35">
      <c r="A8" s="8" t="s">
        <v>32</v>
      </c>
      <c r="B8">
        <v>101300</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065A-13F0-4F2B-B4D2-548FB2108F84}">
  <dimension ref="A3:B9"/>
  <sheetViews>
    <sheetView workbookViewId="0">
      <selection activeCell="M7" sqref="M7"/>
    </sheetView>
  </sheetViews>
  <sheetFormatPr defaultRowHeight="14.5" x14ac:dyDescent="0.35"/>
  <cols>
    <col min="1" max="1" width="11.54296875" bestFit="1" customWidth="1"/>
    <col min="2" max="2" width="14.453125" bestFit="1" customWidth="1"/>
  </cols>
  <sheetData>
    <row r="3" spans="1:2" x14ac:dyDescent="0.35">
      <c r="A3" s="7" t="s">
        <v>37</v>
      </c>
      <c r="B3" t="s">
        <v>36</v>
      </c>
    </row>
    <row r="4" spans="1:2" x14ac:dyDescent="0.35">
      <c r="A4" s="8" t="s">
        <v>21</v>
      </c>
      <c r="B4">
        <v>16</v>
      </c>
    </row>
    <row r="5" spans="1:2" x14ac:dyDescent="0.35">
      <c r="A5" s="8" t="s">
        <v>14</v>
      </c>
      <c r="B5">
        <v>75</v>
      </c>
    </row>
    <row r="6" spans="1:2" x14ac:dyDescent="0.35">
      <c r="A6" s="8" t="s">
        <v>23</v>
      </c>
      <c r="B6">
        <v>70</v>
      </c>
    </row>
    <row r="7" spans="1:2" x14ac:dyDescent="0.35">
      <c r="A7" s="8" t="s">
        <v>18</v>
      </c>
      <c r="B7">
        <v>76</v>
      </c>
    </row>
    <row r="8" spans="1:2" x14ac:dyDescent="0.35">
      <c r="A8" s="8" t="s">
        <v>35</v>
      </c>
      <c r="B8">
        <v>1</v>
      </c>
    </row>
    <row r="9" spans="1:2" x14ac:dyDescent="0.35">
      <c r="A9" s="8" t="s">
        <v>32</v>
      </c>
      <c r="B9">
        <v>238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ED5E-5D03-433D-91B9-AB42CF2ED41C}">
  <dimension ref="A3:B7"/>
  <sheetViews>
    <sheetView workbookViewId="0">
      <selection activeCell="L16" sqref="L16"/>
    </sheetView>
  </sheetViews>
  <sheetFormatPr defaultRowHeight="14.5" x14ac:dyDescent="0.35"/>
  <cols>
    <col min="1" max="1" width="14.81640625" bestFit="1" customWidth="1"/>
    <col min="2" max="2" width="22.36328125" bestFit="1" customWidth="1"/>
  </cols>
  <sheetData>
    <row r="3" spans="1:2" x14ac:dyDescent="0.35">
      <c r="A3" s="7" t="s">
        <v>38</v>
      </c>
      <c r="B3" t="s">
        <v>33</v>
      </c>
    </row>
    <row r="4" spans="1:2" x14ac:dyDescent="0.35">
      <c r="A4" s="8" t="s">
        <v>19</v>
      </c>
      <c r="B4">
        <v>61880</v>
      </c>
    </row>
    <row r="5" spans="1:2" x14ac:dyDescent="0.35">
      <c r="A5" s="8" t="s">
        <v>22</v>
      </c>
      <c r="B5">
        <v>2690</v>
      </c>
    </row>
    <row r="6" spans="1:2" x14ac:dyDescent="0.35">
      <c r="A6" s="8" t="s">
        <v>15</v>
      </c>
      <c r="B6">
        <v>36730</v>
      </c>
    </row>
    <row r="7" spans="1:2" x14ac:dyDescent="0.35">
      <c r="A7" s="8" t="s">
        <v>32</v>
      </c>
      <c r="B7">
        <v>101300</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3AC09-4248-4EEB-9881-D80BEB0D1A2C}">
  <dimension ref="A3:B7"/>
  <sheetViews>
    <sheetView workbookViewId="0">
      <selection activeCell="C16" sqref="C16"/>
    </sheetView>
  </sheetViews>
  <sheetFormatPr defaultRowHeight="14.5" x14ac:dyDescent="0.35"/>
  <cols>
    <col min="1" max="1" width="17.54296875" bestFit="1" customWidth="1"/>
    <col min="2" max="2" width="14.453125" bestFit="1" customWidth="1"/>
  </cols>
  <sheetData>
    <row r="3" spans="1:2" x14ac:dyDescent="0.35">
      <c r="A3" s="7" t="s">
        <v>25</v>
      </c>
      <c r="B3" t="s">
        <v>36</v>
      </c>
    </row>
    <row r="4" spans="1:2" x14ac:dyDescent="0.35">
      <c r="A4" s="8" t="s">
        <v>41</v>
      </c>
      <c r="B4">
        <v>51</v>
      </c>
    </row>
    <row r="5" spans="1:2" x14ac:dyDescent="0.35">
      <c r="A5" s="8" t="s">
        <v>39</v>
      </c>
      <c r="B5">
        <v>83</v>
      </c>
    </row>
    <row r="6" spans="1:2" x14ac:dyDescent="0.35">
      <c r="A6" s="8" t="s">
        <v>40</v>
      </c>
      <c r="B6">
        <v>104</v>
      </c>
    </row>
    <row r="7" spans="1:2" x14ac:dyDescent="0.35">
      <c r="A7" s="8" t="s">
        <v>32</v>
      </c>
      <c r="B7">
        <v>238</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B2C44-6874-4B79-B502-7554BC9233B6}">
  <sheetPr>
    <pageSetUpPr autoPageBreaks="0"/>
  </sheetPr>
  <dimension ref="H2:W40"/>
  <sheetViews>
    <sheetView showGridLines="0" showRowColHeaders="0" zoomScale="66" zoomScaleNormal="88" workbookViewId="0">
      <selection activeCell="I20" sqref="I20"/>
    </sheetView>
  </sheetViews>
  <sheetFormatPr defaultRowHeight="14.5" x14ac:dyDescent="0.35"/>
  <sheetData>
    <row r="2" spans="8:12" ht="18.5" x14ac:dyDescent="0.45">
      <c r="H2" s="11" t="s">
        <v>42</v>
      </c>
      <c r="I2" s="12"/>
      <c r="J2" s="12"/>
      <c r="K2" s="12"/>
      <c r="L2" s="12"/>
    </row>
    <row r="40" spans="23:23" ht="16" x14ac:dyDescent="0.4">
      <c r="W40"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2648-CD83-416B-B8CE-B406839B6F08}">
  <dimension ref="B2:I9"/>
  <sheetViews>
    <sheetView showGridLines="0" workbookViewId="0">
      <selection activeCell="N8" sqref="N8"/>
    </sheetView>
  </sheetViews>
  <sheetFormatPr defaultRowHeight="14.5" x14ac:dyDescent="0.35"/>
  <sheetData>
    <row r="2" spans="2:9" ht="21" x14ac:dyDescent="0.5">
      <c r="B2" s="9" t="s">
        <v>43</v>
      </c>
      <c r="C2" s="9"/>
      <c r="D2" s="9"/>
      <c r="E2" s="9"/>
      <c r="F2" s="9"/>
      <c r="G2" s="9"/>
      <c r="H2" s="9"/>
    </row>
    <row r="4" spans="2:9" x14ac:dyDescent="0.35">
      <c r="B4" t="s">
        <v>44</v>
      </c>
    </row>
    <row r="5" spans="2:9" x14ac:dyDescent="0.35">
      <c r="B5" t="s">
        <v>45</v>
      </c>
    </row>
    <row r="6" spans="2:9" x14ac:dyDescent="0.35">
      <c r="B6" t="s">
        <v>46</v>
      </c>
    </row>
    <row r="7" spans="2:9" x14ac:dyDescent="0.35">
      <c r="B7" t="s">
        <v>47</v>
      </c>
    </row>
    <row r="8" spans="2:9" x14ac:dyDescent="0.35">
      <c r="B8" t="s">
        <v>48</v>
      </c>
      <c r="I8" t="s">
        <v>49</v>
      </c>
    </row>
    <row r="9" spans="2:9" x14ac:dyDescent="0.35">
      <c r="B9" t="s">
        <v>50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E113-5DE0-478D-90D3-F37BCE244796}">
  <dimension ref="A1:M239"/>
  <sheetViews>
    <sheetView zoomScale="85" zoomScaleNormal="85" workbookViewId="0">
      <selection activeCell="I6" sqref="I6"/>
    </sheetView>
  </sheetViews>
  <sheetFormatPr defaultRowHeight="14.5" x14ac:dyDescent="0.35"/>
  <cols>
    <col min="11" max="11" width="14.54296875" customWidth="1"/>
    <col min="12" max="12" width="15.453125" customWidth="1"/>
    <col min="13" max="13" width="37.08984375" bestFit="1" customWidth="1"/>
  </cols>
  <sheetData>
    <row r="1" spans="1:13" x14ac:dyDescent="0.35">
      <c r="A1" t="s">
        <v>13</v>
      </c>
      <c r="B1" t="s">
        <v>0</v>
      </c>
      <c r="C1" t="s">
        <v>7</v>
      </c>
      <c r="D1" t="s">
        <v>12</v>
      </c>
      <c r="E1" t="s">
        <v>8</v>
      </c>
      <c r="F1" t="s">
        <v>11</v>
      </c>
      <c r="G1" t="s">
        <v>9</v>
      </c>
      <c r="H1" t="s">
        <v>10</v>
      </c>
      <c r="I1" t="s">
        <v>1</v>
      </c>
      <c r="J1" t="s">
        <v>2</v>
      </c>
      <c r="K1" s="1" t="s">
        <v>24</v>
      </c>
      <c r="L1" s="1" t="s">
        <v>25</v>
      </c>
      <c r="M1" s="1" t="s">
        <v>26</v>
      </c>
    </row>
    <row r="2" spans="1:13" x14ac:dyDescent="0.35">
      <c r="A2">
        <v>1</v>
      </c>
      <c r="B2">
        <v>25</v>
      </c>
      <c r="C2" t="s">
        <v>14</v>
      </c>
      <c r="D2">
        <v>45000</v>
      </c>
      <c r="E2" t="s">
        <v>15</v>
      </c>
      <c r="F2">
        <v>200</v>
      </c>
      <c r="G2">
        <v>4.5</v>
      </c>
      <c r="H2" t="s">
        <v>16</v>
      </c>
      <c r="I2" t="s">
        <v>3</v>
      </c>
      <c r="J2">
        <v>12</v>
      </c>
      <c r="K2" t="str">
        <f>IF(F2&gt;=400,"High Spender",IF(F2&gt;=250,"Medium Spender","Low Spender"))</f>
        <v>Low Spender</v>
      </c>
      <c r="L2" t="str">
        <f>IF(OR(G2&lt;5,J2&lt;10),"At Risk",IF(G2&gt;=8,"Loyal","Regular"))</f>
        <v>At Risk</v>
      </c>
      <c r="M2" t="str">
        <f>H2 &amp; " | " &amp; K2 &amp; " | " &amp; L2</f>
        <v>Low Value | Low Spender | At Risk</v>
      </c>
    </row>
    <row r="3" spans="1:13" x14ac:dyDescent="0.35">
      <c r="A3">
        <v>2</v>
      </c>
      <c r="B3">
        <v>34</v>
      </c>
      <c r="C3" t="s">
        <v>14</v>
      </c>
      <c r="D3">
        <v>55000</v>
      </c>
      <c r="E3" t="s">
        <v>15</v>
      </c>
      <c r="F3">
        <v>350</v>
      </c>
      <c r="G3">
        <v>7</v>
      </c>
      <c r="H3" t="s">
        <v>17</v>
      </c>
      <c r="I3" t="s">
        <v>4</v>
      </c>
      <c r="J3">
        <v>18</v>
      </c>
      <c r="K3" t="str">
        <f t="shared" ref="K3:K66" si="0">IF(F3&gt;=400,"High Spender",IF(F3&gt;=250,"Medium Spender","Low Spender"))</f>
        <v>Medium Spender</v>
      </c>
      <c r="L3" t="str">
        <f t="shared" ref="L3:L66" si="1">IF(OR(G3&lt;5,J3&lt;10),"At Risk",IF(G3&gt;=8,"Loyal","Regular"))</f>
        <v>Regular</v>
      </c>
      <c r="M3" t="str">
        <f t="shared" ref="M3:M66" si="2">H3 &amp; " | " &amp; K3 &amp; " | " &amp; L3</f>
        <v>Medium Value | Medium Spender | Regular</v>
      </c>
    </row>
    <row r="4" spans="1:13" x14ac:dyDescent="0.35">
      <c r="A4">
        <v>3</v>
      </c>
      <c r="B4">
        <v>45</v>
      </c>
      <c r="C4" t="s">
        <v>18</v>
      </c>
      <c r="D4">
        <v>65000</v>
      </c>
      <c r="E4" t="s">
        <v>19</v>
      </c>
      <c r="F4">
        <v>500</v>
      </c>
      <c r="G4">
        <v>8</v>
      </c>
      <c r="H4" t="s">
        <v>20</v>
      </c>
      <c r="I4" t="s">
        <v>5</v>
      </c>
      <c r="J4">
        <v>22</v>
      </c>
      <c r="K4" t="str">
        <f t="shared" si="0"/>
        <v>High Spender</v>
      </c>
      <c r="L4" t="str">
        <f t="shared" si="1"/>
        <v>Loyal</v>
      </c>
      <c r="M4" t="str">
        <f t="shared" si="2"/>
        <v>High Value | High Spender | Loyal</v>
      </c>
    </row>
    <row r="5" spans="1:13" x14ac:dyDescent="0.35">
      <c r="A5">
        <v>4</v>
      </c>
      <c r="B5">
        <v>22</v>
      </c>
      <c r="C5" t="s">
        <v>21</v>
      </c>
      <c r="D5">
        <v>30000</v>
      </c>
      <c r="E5" t="s">
        <v>22</v>
      </c>
      <c r="F5">
        <v>150</v>
      </c>
      <c r="G5">
        <v>3</v>
      </c>
      <c r="H5" t="s">
        <v>16</v>
      </c>
      <c r="I5" t="s">
        <v>6</v>
      </c>
      <c r="J5">
        <v>10</v>
      </c>
      <c r="K5" t="str">
        <f t="shared" si="0"/>
        <v>Low Spender</v>
      </c>
      <c r="L5" t="str">
        <f t="shared" si="1"/>
        <v>At Risk</v>
      </c>
      <c r="M5" t="str">
        <f t="shared" si="2"/>
        <v>Low Value | Low Spender | At Risk</v>
      </c>
    </row>
    <row r="6" spans="1:13" x14ac:dyDescent="0.35">
      <c r="A6">
        <v>5</v>
      </c>
      <c r="B6">
        <v>29</v>
      </c>
      <c r="C6" t="s">
        <v>14</v>
      </c>
      <c r="D6">
        <v>47000</v>
      </c>
      <c r="E6" t="s">
        <v>15</v>
      </c>
      <c r="F6">
        <v>220</v>
      </c>
      <c r="G6">
        <v>4.8</v>
      </c>
      <c r="H6" t="s">
        <v>16</v>
      </c>
      <c r="I6" t="s">
        <v>3</v>
      </c>
      <c r="J6">
        <v>13</v>
      </c>
      <c r="K6" t="str">
        <f t="shared" si="0"/>
        <v>Low Spender</v>
      </c>
      <c r="L6" t="str">
        <f t="shared" si="1"/>
        <v>At Risk</v>
      </c>
      <c r="M6" t="str">
        <f t="shared" si="2"/>
        <v>Low Value | Low Spender | At Risk</v>
      </c>
    </row>
    <row r="7" spans="1:13" x14ac:dyDescent="0.35">
      <c r="A7">
        <v>6</v>
      </c>
      <c r="B7">
        <v>41</v>
      </c>
      <c r="C7" t="s">
        <v>23</v>
      </c>
      <c r="D7">
        <v>61000</v>
      </c>
      <c r="E7" t="s">
        <v>19</v>
      </c>
      <c r="F7">
        <v>480</v>
      </c>
      <c r="G7">
        <v>7.8</v>
      </c>
      <c r="H7" t="s">
        <v>17</v>
      </c>
      <c r="I7" t="s">
        <v>4</v>
      </c>
      <c r="J7">
        <v>21</v>
      </c>
      <c r="K7" t="str">
        <f t="shared" si="0"/>
        <v>High Spender</v>
      </c>
      <c r="L7" t="str">
        <f t="shared" si="1"/>
        <v>Regular</v>
      </c>
      <c r="M7" t="str">
        <f t="shared" si="2"/>
        <v>Medium Value | High Spender | Regular</v>
      </c>
    </row>
    <row r="8" spans="1:13" x14ac:dyDescent="0.35">
      <c r="A8">
        <v>7</v>
      </c>
      <c r="B8">
        <v>36</v>
      </c>
      <c r="C8" t="s">
        <v>23</v>
      </c>
      <c r="D8">
        <v>54000</v>
      </c>
      <c r="E8" t="s">
        <v>15</v>
      </c>
      <c r="F8">
        <v>400</v>
      </c>
      <c r="G8">
        <v>6.5</v>
      </c>
      <c r="H8" t="s">
        <v>17</v>
      </c>
      <c r="I8" t="s">
        <v>5</v>
      </c>
      <c r="J8">
        <v>19</v>
      </c>
      <c r="K8" t="str">
        <f t="shared" si="0"/>
        <v>High Spender</v>
      </c>
      <c r="L8" t="str">
        <f t="shared" si="1"/>
        <v>Regular</v>
      </c>
      <c r="M8" t="str">
        <f t="shared" si="2"/>
        <v>Medium Value | High Spender | Regular</v>
      </c>
    </row>
    <row r="9" spans="1:13" x14ac:dyDescent="0.35">
      <c r="A9">
        <v>8</v>
      </c>
      <c r="B9">
        <v>27</v>
      </c>
      <c r="C9" t="s">
        <v>14</v>
      </c>
      <c r="D9">
        <v>43000</v>
      </c>
      <c r="E9" t="s">
        <v>15</v>
      </c>
      <c r="F9">
        <v>230</v>
      </c>
      <c r="G9">
        <v>4.2</v>
      </c>
      <c r="H9" t="s">
        <v>16</v>
      </c>
      <c r="I9" t="s">
        <v>6</v>
      </c>
      <c r="J9">
        <v>14</v>
      </c>
      <c r="K9" t="str">
        <f t="shared" si="0"/>
        <v>Low Spender</v>
      </c>
      <c r="L9" t="str">
        <f t="shared" si="1"/>
        <v>At Risk</v>
      </c>
      <c r="M9" t="str">
        <f t="shared" si="2"/>
        <v>Low Value | Low Spender | At Risk</v>
      </c>
    </row>
    <row r="10" spans="1:13" x14ac:dyDescent="0.35">
      <c r="A10">
        <v>9</v>
      </c>
      <c r="B10">
        <v>50</v>
      </c>
      <c r="C10" t="s">
        <v>18</v>
      </c>
      <c r="D10">
        <v>70000</v>
      </c>
      <c r="E10" t="s">
        <v>19</v>
      </c>
      <c r="F10">
        <v>600</v>
      </c>
      <c r="G10">
        <v>9</v>
      </c>
      <c r="H10" t="s">
        <v>20</v>
      </c>
      <c r="I10" t="s">
        <v>3</v>
      </c>
      <c r="J10">
        <v>25</v>
      </c>
      <c r="K10" t="str">
        <f t="shared" si="0"/>
        <v>High Spender</v>
      </c>
      <c r="L10" t="str">
        <f t="shared" si="1"/>
        <v>Loyal</v>
      </c>
      <c r="M10" t="str">
        <f t="shared" si="2"/>
        <v>High Value | High Spender | Loyal</v>
      </c>
    </row>
    <row r="11" spans="1:13" x14ac:dyDescent="0.35">
      <c r="A11">
        <v>10</v>
      </c>
      <c r="B11">
        <v>31</v>
      </c>
      <c r="C11" t="s">
        <v>14</v>
      </c>
      <c r="D11">
        <v>50000</v>
      </c>
      <c r="E11" t="s">
        <v>15</v>
      </c>
      <c r="F11">
        <v>320</v>
      </c>
      <c r="G11">
        <v>5.5</v>
      </c>
      <c r="H11" t="s">
        <v>17</v>
      </c>
      <c r="I11" t="s">
        <v>4</v>
      </c>
      <c r="J11">
        <v>17</v>
      </c>
      <c r="K11" t="str">
        <f t="shared" si="0"/>
        <v>Medium Spender</v>
      </c>
      <c r="L11" t="str">
        <f t="shared" si="1"/>
        <v>Regular</v>
      </c>
      <c r="M11" t="str">
        <f t="shared" si="2"/>
        <v>Medium Value | Medium Spender | Regular</v>
      </c>
    </row>
    <row r="12" spans="1:13" x14ac:dyDescent="0.35">
      <c r="A12">
        <v>11</v>
      </c>
      <c r="B12">
        <v>28</v>
      </c>
      <c r="C12" t="s">
        <v>14</v>
      </c>
      <c r="D12">
        <v>46000</v>
      </c>
      <c r="E12" t="s">
        <v>15</v>
      </c>
      <c r="F12">
        <v>250</v>
      </c>
      <c r="G12">
        <v>4.4000000000000004</v>
      </c>
      <c r="H12" t="s">
        <v>16</v>
      </c>
      <c r="I12" t="s">
        <v>5</v>
      </c>
      <c r="J12">
        <v>15</v>
      </c>
      <c r="K12" t="str">
        <f t="shared" si="0"/>
        <v>Medium Spender</v>
      </c>
      <c r="L12" t="str">
        <f t="shared" si="1"/>
        <v>At Risk</v>
      </c>
      <c r="M12" t="str">
        <f t="shared" si="2"/>
        <v>Low Value | Medium Spender | At Risk</v>
      </c>
    </row>
    <row r="13" spans="1:13" x14ac:dyDescent="0.35">
      <c r="A13">
        <v>12</v>
      </c>
      <c r="B13">
        <v>42</v>
      </c>
      <c r="C13" t="s">
        <v>23</v>
      </c>
      <c r="D13">
        <v>62000</v>
      </c>
      <c r="E13" t="s">
        <v>19</v>
      </c>
      <c r="F13">
        <v>520</v>
      </c>
      <c r="G13">
        <v>8.1999999999999993</v>
      </c>
      <c r="H13" t="s">
        <v>20</v>
      </c>
      <c r="I13" t="s">
        <v>3</v>
      </c>
      <c r="J13">
        <v>23</v>
      </c>
      <c r="K13" t="str">
        <f t="shared" si="0"/>
        <v>High Spender</v>
      </c>
      <c r="L13" t="str">
        <f t="shared" si="1"/>
        <v>Loyal</v>
      </c>
      <c r="M13" t="str">
        <f t="shared" si="2"/>
        <v>High Value | High Spender | Loyal</v>
      </c>
    </row>
    <row r="14" spans="1:13" x14ac:dyDescent="0.35">
      <c r="A14">
        <v>13</v>
      </c>
      <c r="B14">
        <v>33</v>
      </c>
      <c r="C14" t="s">
        <v>14</v>
      </c>
      <c r="D14">
        <v>53000</v>
      </c>
      <c r="E14" t="s">
        <v>15</v>
      </c>
      <c r="F14">
        <v>380</v>
      </c>
      <c r="G14">
        <v>6</v>
      </c>
      <c r="H14" t="s">
        <v>17</v>
      </c>
      <c r="I14" t="s">
        <v>4</v>
      </c>
      <c r="J14">
        <v>18</v>
      </c>
      <c r="K14" t="str">
        <f t="shared" si="0"/>
        <v>Medium Spender</v>
      </c>
      <c r="L14" t="str">
        <f t="shared" si="1"/>
        <v>Regular</v>
      </c>
      <c r="M14" t="str">
        <f t="shared" si="2"/>
        <v>Medium Value | Medium Spender | Regular</v>
      </c>
    </row>
    <row r="15" spans="1:13" x14ac:dyDescent="0.35">
      <c r="A15">
        <v>14</v>
      </c>
      <c r="B15">
        <v>37</v>
      </c>
      <c r="C15" t="s">
        <v>23</v>
      </c>
      <c r="D15">
        <v>58000</v>
      </c>
      <c r="E15" t="s">
        <v>15</v>
      </c>
      <c r="F15">
        <v>420</v>
      </c>
      <c r="G15">
        <v>6.8</v>
      </c>
      <c r="H15" t="s">
        <v>17</v>
      </c>
      <c r="I15" t="s">
        <v>6</v>
      </c>
      <c r="J15">
        <v>20</v>
      </c>
      <c r="K15" t="str">
        <f t="shared" si="0"/>
        <v>High Spender</v>
      </c>
      <c r="L15" t="str">
        <f t="shared" si="1"/>
        <v>Regular</v>
      </c>
      <c r="M15" t="str">
        <f t="shared" si="2"/>
        <v>Medium Value | High Spender | Regular</v>
      </c>
    </row>
    <row r="16" spans="1:13" x14ac:dyDescent="0.35">
      <c r="A16">
        <v>15</v>
      </c>
      <c r="B16">
        <v>49</v>
      </c>
      <c r="C16" t="s">
        <v>18</v>
      </c>
      <c r="D16">
        <v>69000</v>
      </c>
      <c r="E16" t="s">
        <v>19</v>
      </c>
      <c r="F16">
        <v>590</v>
      </c>
      <c r="G16">
        <v>8.9</v>
      </c>
      <c r="H16" t="s">
        <v>20</v>
      </c>
      <c r="I16" t="s">
        <v>5</v>
      </c>
      <c r="J16">
        <v>24</v>
      </c>
      <c r="K16" t="str">
        <f t="shared" si="0"/>
        <v>High Spender</v>
      </c>
      <c r="L16" t="str">
        <f t="shared" si="1"/>
        <v>Loyal</v>
      </c>
      <c r="M16" t="str">
        <f t="shared" si="2"/>
        <v>High Value | High Spender | Loyal</v>
      </c>
    </row>
    <row r="17" spans="1:13" x14ac:dyDescent="0.35">
      <c r="A17">
        <v>16</v>
      </c>
      <c r="B17">
        <v>23</v>
      </c>
      <c r="C17" t="s">
        <v>21</v>
      </c>
      <c r="D17">
        <v>31000</v>
      </c>
      <c r="E17" t="s">
        <v>22</v>
      </c>
      <c r="F17">
        <v>160</v>
      </c>
      <c r="G17">
        <v>3.2</v>
      </c>
      <c r="H17" t="s">
        <v>16</v>
      </c>
      <c r="I17" t="s">
        <v>3</v>
      </c>
      <c r="J17">
        <v>11</v>
      </c>
      <c r="K17" t="str">
        <f t="shared" si="0"/>
        <v>Low Spender</v>
      </c>
      <c r="L17" t="str">
        <f t="shared" si="1"/>
        <v>At Risk</v>
      </c>
      <c r="M17" t="str">
        <f t="shared" si="2"/>
        <v>Low Value | Low Spender | At Risk</v>
      </c>
    </row>
    <row r="18" spans="1:13" x14ac:dyDescent="0.35">
      <c r="A18">
        <v>17</v>
      </c>
      <c r="B18">
        <v>39</v>
      </c>
      <c r="C18" t="s">
        <v>23</v>
      </c>
      <c r="D18">
        <v>57000</v>
      </c>
      <c r="E18" t="s">
        <v>15</v>
      </c>
      <c r="F18">
        <v>440</v>
      </c>
      <c r="G18">
        <v>7</v>
      </c>
      <c r="H18" t="s">
        <v>17</v>
      </c>
      <c r="I18" t="s">
        <v>4</v>
      </c>
      <c r="J18">
        <v>21</v>
      </c>
      <c r="K18" t="str">
        <f t="shared" si="0"/>
        <v>High Spender</v>
      </c>
      <c r="L18" t="str">
        <f t="shared" si="1"/>
        <v>Regular</v>
      </c>
      <c r="M18" t="str">
        <f t="shared" si="2"/>
        <v>Medium Value | High Spender | Regular</v>
      </c>
    </row>
    <row r="19" spans="1:13" x14ac:dyDescent="0.35">
      <c r="A19">
        <v>18</v>
      </c>
      <c r="B19">
        <v>30</v>
      </c>
      <c r="C19" t="s">
        <v>14</v>
      </c>
      <c r="D19">
        <v>49000</v>
      </c>
      <c r="E19" t="s">
        <v>15</v>
      </c>
      <c r="F19">
        <v>300</v>
      </c>
      <c r="G19">
        <v>5</v>
      </c>
      <c r="H19" t="s">
        <v>17</v>
      </c>
      <c r="I19" t="s">
        <v>5</v>
      </c>
      <c r="J19">
        <v>16</v>
      </c>
      <c r="K19" t="str">
        <f t="shared" si="0"/>
        <v>Medium Spender</v>
      </c>
      <c r="L19" t="str">
        <f t="shared" si="1"/>
        <v>Regular</v>
      </c>
      <c r="M19" t="str">
        <f t="shared" si="2"/>
        <v>Medium Value | Medium Spender | Regular</v>
      </c>
    </row>
    <row r="20" spans="1:13" x14ac:dyDescent="0.35">
      <c r="A20">
        <v>19</v>
      </c>
      <c r="B20">
        <v>46</v>
      </c>
      <c r="C20" t="s">
        <v>18</v>
      </c>
      <c r="D20">
        <v>66000</v>
      </c>
      <c r="E20" t="s">
        <v>19</v>
      </c>
      <c r="F20">
        <v>510</v>
      </c>
      <c r="G20">
        <v>8.1</v>
      </c>
      <c r="H20" t="s">
        <v>20</v>
      </c>
      <c r="I20" t="s">
        <v>3</v>
      </c>
      <c r="J20">
        <v>22</v>
      </c>
      <c r="K20" t="str">
        <f t="shared" si="0"/>
        <v>High Spender</v>
      </c>
      <c r="L20" t="str">
        <f t="shared" si="1"/>
        <v>Loyal</v>
      </c>
      <c r="M20" t="str">
        <f t="shared" si="2"/>
        <v>High Value | High Spender | Loyal</v>
      </c>
    </row>
    <row r="21" spans="1:13" x14ac:dyDescent="0.35">
      <c r="A21">
        <v>20</v>
      </c>
      <c r="B21">
        <v>26</v>
      </c>
      <c r="C21" t="s">
        <v>14</v>
      </c>
      <c r="D21">
        <v>44000</v>
      </c>
      <c r="E21" t="s">
        <v>15</v>
      </c>
      <c r="F21">
        <v>240</v>
      </c>
      <c r="G21">
        <v>4.3</v>
      </c>
      <c r="H21" t="s">
        <v>16</v>
      </c>
      <c r="I21" t="s">
        <v>6</v>
      </c>
      <c r="J21">
        <v>14</v>
      </c>
      <c r="K21" t="str">
        <f t="shared" si="0"/>
        <v>Low Spender</v>
      </c>
      <c r="L21" t="str">
        <f t="shared" si="1"/>
        <v>At Risk</v>
      </c>
      <c r="M21" t="str">
        <f t="shared" si="2"/>
        <v>Low Value | Low Spender | At Risk</v>
      </c>
    </row>
    <row r="22" spans="1:13" x14ac:dyDescent="0.35">
      <c r="A22">
        <v>21</v>
      </c>
      <c r="B22">
        <v>52</v>
      </c>
      <c r="C22" t="s">
        <v>18</v>
      </c>
      <c r="D22">
        <v>72000</v>
      </c>
      <c r="E22" t="s">
        <v>19</v>
      </c>
      <c r="F22">
        <v>610</v>
      </c>
      <c r="G22">
        <v>9.1999999999999993</v>
      </c>
      <c r="H22" t="s">
        <v>20</v>
      </c>
      <c r="I22" t="s">
        <v>4</v>
      </c>
      <c r="J22">
        <v>26</v>
      </c>
      <c r="K22" t="str">
        <f t="shared" si="0"/>
        <v>High Spender</v>
      </c>
      <c r="L22" t="str">
        <f t="shared" si="1"/>
        <v>Loyal</v>
      </c>
      <c r="M22" t="str">
        <f t="shared" si="2"/>
        <v>High Value | High Spender | Loyal</v>
      </c>
    </row>
    <row r="23" spans="1:13" x14ac:dyDescent="0.35">
      <c r="A23">
        <v>22</v>
      </c>
      <c r="B23">
        <v>24</v>
      </c>
      <c r="C23" t="s">
        <v>21</v>
      </c>
      <c r="D23">
        <v>32000</v>
      </c>
      <c r="E23" t="s">
        <v>22</v>
      </c>
      <c r="F23">
        <v>170</v>
      </c>
      <c r="G23">
        <v>3.3</v>
      </c>
      <c r="H23" t="s">
        <v>16</v>
      </c>
      <c r="I23" t="s">
        <v>5</v>
      </c>
      <c r="J23">
        <v>12</v>
      </c>
      <c r="K23" t="str">
        <f t="shared" si="0"/>
        <v>Low Spender</v>
      </c>
      <c r="L23" t="str">
        <f t="shared" si="1"/>
        <v>At Risk</v>
      </c>
      <c r="M23" t="str">
        <f t="shared" si="2"/>
        <v>Low Value | Low Spender | At Risk</v>
      </c>
    </row>
    <row r="24" spans="1:13" x14ac:dyDescent="0.35">
      <c r="A24">
        <v>23</v>
      </c>
      <c r="B24">
        <v>44</v>
      </c>
      <c r="C24" t="s">
        <v>23</v>
      </c>
      <c r="D24">
        <v>63000</v>
      </c>
      <c r="E24" t="s">
        <v>19</v>
      </c>
      <c r="F24">
        <v>460</v>
      </c>
      <c r="G24">
        <v>7.5</v>
      </c>
      <c r="H24" t="s">
        <v>17</v>
      </c>
      <c r="I24" t="s">
        <v>3</v>
      </c>
      <c r="J24">
        <v>21</v>
      </c>
      <c r="K24" t="str">
        <f t="shared" si="0"/>
        <v>High Spender</v>
      </c>
      <c r="L24" t="str">
        <f t="shared" si="1"/>
        <v>Regular</v>
      </c>
      <c r="M24" t="str">
        <f t="shared" si="2"/>
        <v>Medium Value | High Spender | Regular</v>
      </c>
    </row>
    <row r="25" spans="1:13" x14ac:dyDescent="0.35">
      <c r="A25">
        <v>24</v>
      </c>
      <c r="B25">
        <v>35</v>
      </c>
      <c r="C25" t="s">
        <v>23</v>
      </c>
      <c r="D25">
        <v>56000</v>
      </c>
      <c r="E25" t="s">
        <v>15</v>
      </c>
      <c r="F25">
        <v>390</v>
      </c>
      <c r="G25">
        <v>6.2</v>
      </c>
      <c r="H25" t="s">
        <v>17</v>
      </c>
      <c r="I25" t="s">
        <v>4</v>
      </c>
      <c r="J25">
        <v>19</v>
      </c>
      <c r="K25" t="str">
        <f t="shared" si="0"/>
        <v>Medium Spender</v>
      </c>
      <c r="L25" t="str">
        <f t="shared" si="1"/>
        <v>Regular</v>
      </c>
      <c r="M25" t="str">
        <f t="shared" si="2"/>
        <v>Medium Value | Medium Spender | Regular</v>
      </c>
    </row>
    <row r="26" spans="1:13" x14ac:dyDescent="0.35">
      <c r="A26">
        <v>25</v>
      </c>
      <c r="B26">
        <v>38</v>
      </c>
      <c r="C26" t="s">
        <v>23</v>
      </c>
      <c r="D26">
        <v>59000</v>
      </c>
      <c r="E26" t="s">
        <v>15</v>
      </c>
      <c r="F26">
        <v>430</v>
      </c>
      <c r="G26">
        <v>6.9</v>
      </c>
      <c r="H26" t="s">
        <v>17</v>
      </c>
      <c r="I26" t="s">
        <v>6</v>
      </c>
      <c r="J26">
        <v>20</v>
      </c>
      <c r="K26" t="str">
        <f t="shared" si="0"/>
        <v>High Spender</v>
      </c>
      <c r="L26" t="str">
        <f t="shared" si="1"/>
        <v>Regular</v>
      </c>
      <c r="M26" t="str">
        <f t="shared" si="2"/>
        <v>Medium Value | High Spender | Regular</v>
      </c>
    </row>
    <row r="27" spans="1:13" x14ac:dyDescent="0.35">
      <c r="A27">
        <v>26</v>
      </c>
      <c r="B27">
        <v>47</v>
      </c>
      <c r="C27" t="s">
        <v>18</v>
      </c>
      <c r="D27">
        <v>67000</v>
      </c>
      <c r="E27" t="s">
        <v>19</v>
      </c>
      <c r="F27">
        <v>530</v>
      </c>
      <c r="G27">
        <v>8.3000000000000007</v>
      </c>
      <c r="H27" t="s">
        <v>20</v>
      </c>
      <c r="I27" t="s">
        <v>5</v>
      </c>
      <c r="J27">
        <v>23</v>
      </c>
      <c r="K27" t="str">
        <f t="shared" si="0"/>
        <v>High Spender</v>
      </c>
      <c r="L27" t="str">
        <f t="shared" si="1"/>
        <v>Loyal</v>
      </c>
      <c r="M27" t="str">
        <f t="shared" si="2"/>
        <v>High Value | High Spender | Loyal</v>
      </c>
    </row>
    <row r="28" spans="1:13" x14ac:dyDescent="0.35">
      <c r="A28">
        <v>27</v>
      </c>
      <c r="B28">
        <v>32</v>
      </c>
      <c r="C28" t="s">
        <v>14</v>
      </c>
      <c r="D28">
        <v>52000</v>
      </c>
      <c r="E28" t="s">
        <v>15</v>
      </c>
      <c r="F28">
        <v>360</v>
      </c>
      <c r="G28">
        <v>5.8</v>
      </c>
      <c r="H28" t="s">
        <v>17</v>
      </c>
      <c r="I28" t="s">
        <v>3</v>
      </c>
      <c r="J28">
        <v>18</v>
      </c>
      <c r="K28" t="str">
        <f t="shared" si="0"/>
        <v>Medium Spender</v>
      </c>
      <c r="L28" t="str">
        <f t="shared" si="1"/>
        <v>Regular</v>
      </c>
      <c r="M28" t="str">
        <f t="shared" si="2"/>
        <v>Medium Value | Medium Spender | Regular</v>
      </c>
    </row>
    <row r="29" spans="1:13" x14ac:dyDescent="0.35">
      <c r="A29">
        <v>28</v>
      </c>
      <c r="B29">
        <v>29</v>
      </c>
      <c r="C29" t="s">
        <v>14</v>
      </c>
      <c r="D29">
        <v>48000</v>
      </c>
      <c r="E29" t="s">
        <v>15</v>
      </c>
      <c r="F29">
        <v>280</v>
      </c>
      <c r="G29">
        <v>4.5999999999999996</v>
      </c>
      <c r="H29" t="s">
        <v>16</v>
      </c>
      <c r="I29" t="s">
        <v>4</v>
      </c>
      <c r="J29">
        <v>15</v>
      </c>
      <c r="K29" t="str">
        <f t="shared" si="0"/>
        <v>Medium Spender</v>
      </c>
      <c r="L29" t="str">
        <f t="shared" si="1"/>
        <v>At Risk</v>
      </c>
      <c r="M29" t="str">
        <f t="shared" si="2"/>
        <v>Low Value | Medium Spender | At Risk</v>
      </c>
    </row>
    <row r="30" spans="1:13" x14ac:dyDescent="0.35">
      <c r="A30">
        <v>29</v>
      </c>
      <c r="B30">
        <v>51</v>
      </c>
      <c r="C30" t="s">
        <v>18</v>
      </c>
      <c r="D30">
        <v>71000</v>
      </c>
      <c r="E30" t="s">
        <v>19</v>
      </c>
      <c r="F30">
        <v>600</v>
      </c>
      <c r="G30">
        <v>9</v>
      </c>
      <c r="H30" t="s">
        <v>20</v>
      </c>
      <c r="I30" t="s">
        <v>5</v>
      </c>
      <c r="J30">
        <v>25</v>
      </c>
      <c r="K30" t="str">
        <f t="shared" si="0"/>
        <v>High Spender</v>
      </c>
      <c r="L30" t="str">
        <f t="shared" si="1"/>
        <v>Loyal</v>
      </c>
      <c r="M30" t="str">
        <f t="shared" si="2"/>
        <v>High Value | High Spender | Loyal</v>
      </c>
    </row>
    <row r="31" spans="1:13" x14ac:dyDescent="0.35">
      <c r="A31">
        <v>30</v>
      </c>
      <c r="B31">
        <v>40</v>
      </c>
      <c r="C31" t="s">
        <v>23</v>
      </c>
      <c r="D31">
        <v>60000</v>
      </c>
      <c r="E31" t="s">
        <v>19</v>
      </c>
      <c r="F31">
        <v>450</v>
      </c>
      <c r="G31">
        <v>7.2</v>
      </c>
      <c r="H31" t="s">
        <v>17</v>
      </c>
      <c r="I31" t="s">
        <v>6</v>
      </c>
      <c r="J31">
        <v>22</v>
      </c>
      <c r="K31" t="str">
        <f t="shared" si="0"/>
        <v>High Spender</v>
      </c>
      <c r="L31" t="str">
        <f t="shared" si="1"/>
        <v>Regular</v>
      </c>
      <c r="M31" t="str">
        <f t="shared" si="2"/>
        <v>Medium Value | High Spender | Regular</v>
      </c>
    </row>
    <row r="32" spans="1:13" x14ac:dyDescent="0.35">
      <c r="A32">
        <v>31</v>
      </c>
      <c r="B32">
        <v>34</v>
      </c>
      <c r="C32" t="s">
        <v>14</v>
      </c>
      <c r="D32">
        <v>55000</v>
      </c>
      <c r="E32" t="s">
        <v>15</v>
      </c>
      <c r="F32">
        <v>350</v>
      </c>
      <c r="G32">
        <v>6.5</v>
      </c>
      <c r="H32" t="s">
        <v>17</v>
      </c>
      <c r="I32" t="s">
        <v>3</v>
      </c>
      <c r="J32">
        <v>19</v>
      </c>
      <c r="K32" t="str">
        <f t="shared" si="0"/>
        <v>Medium Spender</v>
      </c>
      <c r="L32" t="str">
        <f t="shared" si="1"/>
        <v>Regular</v>
      </c>
      <c r="M32" t="str">
        <f t="shared" si="2"/>
        <v>Medium Value | Medium Spender | Regular</v>
      </c>
    </row>
    <row r="33" spans="1:13" x14ac:dyDescent="0.35">
      <c r="A33">
        <v>32</v>
      </c>
      <c r="B33">
        <v>43</v>
      </c>
      <c r="C33" t="s">
        <v>23</v>
      </c>
      <c r="D33">
        <v>64000</v>
      </c>
      <c r="E33" t="s">
        <v>19</v>
      </c>
      <c r="F33">
        <v>470</v>
      </c>
      <c r="G33">
        <v>7.8</v>
      </c>
      <c r="H33" t="s">
        <v>17</v>
      </c>
      <c r="I33" t="s">
        <v>4</v>
      </c>
      <c r="J33">
        <v>21</v>
      </c>
      <c r="K33" t="str">
        <f t="shared" si="0"/>
        <v>High Spender</v>
      </c>
      <c r="L33" t="str">
        <f t="shared" si="1"/>
        <v>Regular</v>
      </c>
      <c r="M33" t="str">
        <f t="shared" si="2"/>
        <v>Medium Value | High Spender | Regular</v>
      </c>
    </row>
    <row r="34" spans="1:13" x14ac:dyDescent="0.35">
      <c r="A34">
        <v>33</v>
      </c>
      <c r="B34">
        <v>31</v>
      </c>
      <c r="C34" t="s">
        <v>14</v>
      </c>
      <c r="D34">
        <v>50000</v>
      </c>
      <c r="E34" t="s">
        <v>15</v>
      </c>
      <c r="F34">
        <v>320</v>
      </c>
      <c r="G34">
        <v>5.5</v>
      </c>
      <c r="H34" t="s">
        <v>17</v>
      </c>
      <c r="I34" t="s">
        <v>5</v>
      </c>
      <c r="J34">
        <v>16</v>
      </c>
      <c r="K34" t="str">
        <f t="shared" si="0"/>
        <v>Medium Spender</v>
      </c>
      <c r="L34" t="str">
        <f t="shared" si="1"/>
        <v>Regular</v>
      </c>
      <c r="M34" t="str">
        <f t="shared" si="2"/>
        <v>Medium Value | Medium Spender | Regular</v>
      </c>
    </row>
    <row r="35" spans="1:13" x14ac:dyDescent="0.35">
      <c r="A35">
        <v>34</v>
      </c>
      <c r="B35">
        <v>27</v>
      </c>
      <c r="C35" t="s">
        <v>14</v>
      </c>
      <c r="D35">
        <v>43000</v>
      </c>
      <c r="E35" t="s">
        <v>15</v>
      </c>
      <c r="F35">
        <v>230</v>
      </c>
      <c r="G35">
        <v>4</v>
      </c>
      <c r="H35" t="s">
        <v>16</v>
      </c>
      <c r="I35" t="s">
        <v>3</v>
      </c>
      <c r="J35">
        <v>14</v>
      </c>
      <c r="K35" t="str">
        <f t="shared" si="0"/>
        <v>Low Spender</v>
      </c>
      <c r="L35" t="str">
        <f t="shared" si="1"/>
        <v>At Risk</v>
      </c>
      <c r="M35" t="str">
        <f t="shared" si="2"/>
        <v>Low Value | Low Spender | At Risk</v>
      </c>
    </row>
    <row r="36" spans="1:13" x14ac:dyDescent="0.35">
      <c r="A36">
        <v>35</v>
      </c>
      <c r="B36">
        <v>55</v>
      </c>
      <c r="C36" t="s">
        <v>18</v>
      </c>
      <c r="D36">
        <v>75000</v>
      </c>
      <c r="E36" t="s">
        <v>19</v>
      </c>
      <c r="F36">
        <v>640</v>
      </c>
      <c r="G36">
        <v>9.5</v>
      </c>
      <c r="H36" t="s">
        <v>20</v>
      </c>
      <c r="I36" t="s">
        <v>4</v>
      </c>
      <c r="J36">
        <v>28</v>
      </c>
      <c r="K36" t="str">
        <f t="shared" si="0"/>
        <v>High Spender</v>
      </c>
      <c r="L36" t="str">
        <f t="shared" si="1"/>
        <v>Loyal</v>
      </c>
      <c r="M36" t="str">
        <f t="shared" si="2"/>
        <v>High Value | High Spender | Loyal</v>
      </c>
    </row>
    <row r="37" spans="1:13" x14ac:dyDescent="0.35">
      <c r="A37">
        <v>36</v>
      </c>
      <c r="B37">
        <v>25</v>
      </c>
      <c r="C37" t="s">
        <v>14</v>
      </c>
      <c r="D37">
        <v>45000</v>
      </c>
      <c r="E37" t="s">
        <v>15</v>
      </c>
      <c r="F37">
        <v>200</v>
      </c>
      <c r="G37">
        <v>4.5</v>
      </c>
      <c r="H37" t="s">
        <v>16</v>
      </c>
      <c r="I37" t="s">
        <v>5</v>
      </c>
      <c r="J37">
        <v>12</v>
      </c>
      <c r="K37" t="str">
        <f t="shared" si="0"/>
        <v>Low Spender</v>
      </c>
      <c r="L37" t="str">
        <f t="shared" si="1"/>
        <v>At Risk</v>
      </c>
      <c r="M37" t="str">
        <f t="shared" si="2"/>
        <v>Low Value | Low Spender | At Risk</v>
      </c>
    </row>
    <row r="38" spans="1:13" x14ac:dyDescent="0.35">
      <c r="A38">
        <v>37</v>
      </c>
      <c r="B38">
        <v>48</v>
      </c>
      <c r="C38" t="s">
        <v>18</v>
      </c>
      <c r="D38">
        <v>68000</v>
      </c>
      <c r="E38" t="s">
        <v>19</v>
      </c>
      <c r="F38">
        <v>550</v>
      </c>
      <c r="G38">
        <v>8.5</v>
      </c>
      <c r="H38" t="s">
        <v>20</v>
      </c>
      <c r="I38" t="s">
        <v>3</v>
      </c>
      <c r="J38">
        <v>24</v>
      </c>
      <c r="K38" t="str">
        <f t="shared" si="0"/>
        <v>High Spender</v>
      </c>
      <c r="L38" t="str">
        <f t="shared" si="1"/>
        <v>Loyal</v>
      </c>
      <c r="M38" t="str">
        <f t="shared" si="2"/>
        <v>High Value | High Spender | Loyal</v>
      </c>
    </row>
    <row r="39" spans="1:13" x14ac:dyDescent="0.35">
      <c r="A39">
        <v>38</v>
      </c>
      <c r="B39">
        <v>30</v>
      </c>
      <c r="C39" t="s">
        <v>14</v>
      </c>
      <c r="D39">
        <v>49000</v>
      </c>
      <c r="E39" t="s">
        <v>15</v>
      </c>
      <c r="F39">
        <v>300</v>
      </c>
      <c r="G39">
        <v>5</v>
      </c>
      <c r="H39" t="s">
        <v>17</v>
      </c>
      <c r="I39" t="s">
        <v>4</v>
      </c>
      <c r="J39">
        <v>17</v>
      </c>
      <c r="K39" t="str">
        <f t="shared" si="0"/>
        <v>Medium Spender</v>
      </c>
      <c r="L39" t="str">
        <f t="shared" si="1"/>
        <v>Regular</v>
      </c>
      <c r="M39" t="str">
        <f t="shared" si="2"/>
        <v>Medium Value | Medium Spender | Regular</v>
      </c>
    </row>
    <row r="40" spans="1:13" x14ac:dyDescent="0.35">
      <c r="A40">
        <v>39</v>
      </c>
      <c r="B40">
        <v>53</v>
      </c>
      <c r="C40" t="s">
        <v>18</v>
      </c>
      <c r="D40">
        <v>73000</v>
      </c>
      <c r="E40" t="s">
        <v>19</v>
      </c>
      <c r="F40">
        <v>620</v>
      </c>
      <c r="G40">
        <v>9.3000000000000007</v>
      </c>
      <c r="H40" t="s">
        <v>20</v>
      </c>
      <c r="I40" t="s">
        <v>5</v>
      </c>
      <c r="J40">
        <v>27</v>
      </c>
      <c r="K40" t="str">
        <f t="shared" si="0"/>
        <v>High Spender</v>
      </c>
      <c r="L40" t="str">
        <f t="shared" si="1"/>
        <v>Loyal</v>
      </c>
      <c r="M40" t="str">
        <f t="shared" si="2"/>
        <v>High Value | High Spender | Loyal</v>
      </c>
    </row>
    <row r="41" spans="1:13" x14ac:dyDescent="0.35">
      <c r="A41">
        <v>40</v>
      </c>
      <c r="B41">
        <v>28</v>
      </c>
      <c r="C41" t="s">
        <v>14</v>
      </c>
      <c r="D41">
        <v>46000</v>
      </c>
      <c r="E41" t="s">
        <v>15</v>
      </c>
      <c r="F41">
        <v>250</v>
      </c>
      <c r="G41">
        <v>4.2</v>
      </c>
      <c r="H41" t="s">
        <v>16</v>
      </c>
      <c r="I41" t="s">
        <v>3</v>
      </c>
      <c r="J41">
        <v>14</v>
      </c>
      <c r="K41" t="str">
        <f t="shared" si="0"/>
        <v>Medium Spender</v>
      </c>
      <c r="L41" t="str">
        <f t="shared" si="1"/>
        <v>At Risk</v>
      </c>
      <c r="M41" t="str">
        <f t="shared" si="2"/>
        <v>Low Value | Medium Spender | At Risk</v>
      </c>
    </row>
    <row r="42" spans="1:13" x14ac:dyDescent="0.35">
      <c r="A42">
        <v>41</v>
      </c>
      <c r="B42">
        <v>39</v>
      </c>
      <c r="C42" t="s">
        <v>23</v>
      </c>
      <c r="D42">
        <v>57000</v>
      </c>
      <c r="E42" t="s">
        <v>15</v>
      </c>
      <c r="F42">
        <v>440</v>
      </c>
      <c r="G42">
        <v>7</v>
      </c>
      <c r="H42" t="s">
        <v>17</v>
      </c>
      <c r="I42" t="s">
        <v>4</v>
      </c>
      <c r="J42">
        <v>21</v>
      </c>
      <c r="K42" t="str">
        <f t="shared" si="0"/>
        <v>High Spender</v>
      </c>
      <c r="L42" t="str">
        <f t="shared" si="1"/>
        <v>Regular</v>
      </c>
      <c r="M42" t="str">
        <f t="shared" si="2"/>
        <v>Medium Value | High Spender | Regular</v>
      </c>
    </row>
    <row r="43" spans="1:13" x14ac:dyDescent="0.35">
      <c r="A43">
        <v>42</v>
      </c>
      <c r="B43">
        <v>37</v>
      </c>
      <c r="C43" t="s">
        <v>23</v>
      </c>
      <c r="D43">
        <v>58000</v>
      </c>
      <c r="E43" t="s">
        <v>15</v>
      </c>
      <c r="F43">
        <v>420</v>
      </c>
      <c r="G43">
        <v>6.8</v>
      </c>
      <c r="H43" t="s">
        <v>17</v>
      </c>
      <c r="I43" t="s">
        <v>5</v>
      </c>
      <c r="J43">
        <v>20</v>
      </c>
      <c r="K43" t="str">
        <f t="shared" si="0"/>
        <v>High Spender</v>
      </c>
      <c r="L43" t="str">
        <f t="shared" si="1"/>
        <v>Regular</v>
      </c>
      <c r="M43" t="str">
        <f t="shared" si="2"/>
        <v>Medium Value | High Spender | Regular</v>
      </c>
    </row>
    <row r="44" spans="1:13" x14ac:dyDescent="0.35">
      <c r="A44">
        <v>43</v>
      </c>
      <c r="B44">
        <v>46</v>
      </c>
      <c r="C44" t="s">
        <v>18</v>
      </c>
      <c r="D44">
        <v>66000</v>
      </c>
      <c r="E44" t="s">
        <v>19</v>
      </c>
      <c r="F44">
        <v>510</v>
      </c>
      <c r="G44">
        <v>8.1</v>
      </c>
      <c r="H44" t="s">
        <v>20</v>
      </c>
      <c r="I44" t="s">
        <v>3</v>
      </c>
      <c r="J44">
        <v>22</v>
      </c>
      <c r="K44" t="str">
        <f t="shared" si="0"/>
        <v>High Spender</v>
      </c>
      <c r="L44" t="str">
        <f t="shared" si="1"/>
        <v>Loyal</v>
      </c>
      <c r="M44" t="str">
        <f t="shared" si="2"/>
        <v>High Value | High Spender | Loyal</v>
      </c>
    </row>
    <row r="45" spans="1:13" x14ac:dyDescent="0.35">
      <c r="A45">
        <v>44</v>
      </c>
      <c r="B45">
        <v>33</v>
      </c>
      <c r="C45" t="s">
        <v>14</v>
      </c>
      <c r="D45">
        <v>53000</v>
      </c>
      <c r="E45" t="s">
        <v>15</v>
      </c>
      <c r="F45">
        <v>380</v>
      </c>
      <c r="G45">
        <v>6</v>
      </c>
      <c r="H45" t="s">
        <v>17</v>
      </c>
      <c r="I45" t="s">
        <v>4</v>
      </c>
      <c r="J45">
        <v>18</v>
      </c>
      <c r="K45" t="str">
        <f t="shared" si="0"/>
        <v>Medium Spender</v>
      </c>
      <c r="L45" t="str">
        <f t="shared" si="1"/>
        <v>Regular</v>
      </c>
      <c r="M45" t="str">
        <f t="shared" si="2"/>
        <v>Medium Value | Medium Spender | Regular</v>
      </c>
    </row>
    <row r="46" spans="1:13" x14ac:dyDescent="0.35">
      <c r="A46">
        <v>45</v>
      </c>
      <c r="B46">
        <v>52</v>
      </c>
      <c r="C46" t="s">
        <v>18</v>
      </c>
      <c r="D46">
        <v>72000</v>
      </c>
      <c r="E46" t="s">
        <v>19</v>
      </c>
      <c r="F46">
        <v>610</v>
      </c>
      <c r="G46">
        <v>9.1999999999999993</v>
      </c>
      <c r="H46" t="s">
        <v>20</v>
      </c>
      <c r="I46" t="s">
        <v>5</v>
      </c>
      <c r="J46">
        <v>26</v>
      </c>
      <c r="K46" t="str">
        <f t="shared" si="0"/>
        <v>High Spender</v>
      </c>
      <c r="L46" t="str">
        <f t="shared" si="1"/>
        <v>Loyal</v>
      </c>
      <c r="M46" t="str">
        <f t="shared" si="2"/>
        <v>High Value | High Spender | Loyal</v>
      </c>
    </row>
    <row r="47" spans="1:13" x14ac:dyDescent="0.35">
      <c r="A47">
        <v>46</v>
      </c>
      <c r="B47">
        <v>29</v>
      </c>
      <c r="C47" t="s">
        <v>14</v>
      </c>
      <c r="D47">
        <v>47000</v>
      </c>
      <c r="E47" t="s">
        <v>15</v>
      </c>
      <c r="F47">
        <v>220</v>
      </c>
      <c r="G47">
        <v>4.4000000000000004</v>
      </c>
      <c r="H47" t="s">
        <v>16</v>
      </c>
      <c r="I47" t="s">
        <v>3</v>
      </c>
      <c r="J47">
        <v>13</v>
      </c>
      <c r="K47" t="str">
        <f t="shared" si="0"/>
        <v>Low Spender</v>
      </c>
      <c r="L47" t="str">
        <f t="shared" si="1"/>
        <v>At Risk</v>
      </c>
      <c r="M47" t="str">
        <f t="shared" si="2"/>
        <v>Low Value | Low Spender | At Risk</v>
      </c>
    </row>
    <row r="48" spans="1:13" x14ac:dyDescent="0.35">
      <c r="A48">
        <v>47</v>
      </c>
      <c r="B48">
        <v>41</v>
      </c>
      <c r="C48" t="s">
        <v>23</v>
      </c>
      <c r="D48">
        <v>61000</v>
      </c>
      <c r="E48" t="s">
        <v>19</v>
      </c>
      <c r="F48">
        <v>480</v>
      </c>
      <c r="G48">
        <v>7.8</v>
      </c>
      <c r="H48" t="s">
        <v>17</v>
      </c>
      <c r="I48" t="s">
        <v>4</v>
      </c>
      <c r="J48">
        <v>21</v>
      </c>
      <c r="K48" t="str">
        <f t="shared" si="0"/>
        <v>High Spender</v>
      </c>
      <c r="L48" t="str">
        <f t="shared" si="1"/>
        <v>Regular</v>
      </c>
      <c r="M48" t="str">
        <f t="shared" si="2"/>
        <v>Medium Value | High Spender | Regular</v>
      </c>
    </row>
    <row r="49" spans="1:13" x14ac:dyDescent="0.35">
      <c r="A49">
        <v>48</v>
      </c>
      <c r="B49">
        <v>50</v>
      </c>
      <c r="C49" t="s">
        <v>18</v>
      </c>
      <c r="D49">
        <v>70000</v>
      </c>
      <c r="E49" t="s">
        <v>19</v>
      </c>
      <c r="F49">
        <v>600</v>
      </c>
      <c r="G49">
        <v>9</v>
      </c>
      <c r="H49" t="s">
        <v>20</v>
      </c>
      <c r="I49" t="s">
        <v>5</v>
      </c>
      <c r="J49">
        <v>25</v>
      </c>
      <c r="K49" t="str">
        <f t="shared" si="0"/>
        <v>High Spender</v>
      </c>
      <c r="L49" t="str">
        <f t="shared" si="1"/>
        <v>Loyal</v>
      </c>
      <c r="M49" t="str">
        <f t="shared" si="2"/>
        <v>High Value | High Spender | Loyal</v>
      </c>
    </row>
    <row r="50" spans="1:13" x14ac:dyDescent="0.35">
      <c r="A50">
        <v>49</v>
      </c>
      <c r="B50">
        <v>36</v>
      </c>
      <c r="C50" t="s">
        <v>23</v>
      </c>
      <c r="D50">
        <v>54000</v>
      </c>
      <c r="E50" t="s">
        <v>15</v>
      </c>
      <c r="F50">
        <v>400</v>
      </c>
      <c r="G50">
        <v>6.5</v>
      </c>
      <c r="H50" t="s">
        <v>17</v>
      </c>
      <c r="I50" t="s">
        <v>3</v>
      </c>
      <c r="J50">
        <v>19</v>
      </c>
      <c r="K50" t="str">
        <f t="shared" si="0"/>
        <v>High Spender</v>
      </c>
      <c r="L50" t="str">
        <f t="shared" si="1"/>
        <v>Regular</v>
      </c>
      <c r="M50" t="str">
        <f t="shared" si="2"/>
        <v>Medium Value | High Spender | Regular</v>
      </c>
    </row>
    <row r="51" spans="1:13" x14ac:dyDescent="0.35">
      <c r="A51">
        <v>50</v>
      </c>
      <c r="B51">
        <v>24</v>
      </c>
      <c r="C51" t="s">
        <v>21</v>
      </c>
      <c r="D51">
        <v>32000</v>
      </c>
      <c r="E51" t="s">
        <v>22</v>
      </c>
      <c r="F51">
        <v>170</v>
      </c>
      <c r="G51">
        <v>3.3</v>
      </c>
      <c r="H51" t="s">
        <v>16</v>
      </c>
      <c r="I51" t="s">
        <v>4</v>
      </c>
      <c r="J51">
        <v>11</v>
      </c>
      <c r="K51" t="str">
        <f t="shared" si="0"/>
        <v>Low Spender</v>
      </c>
      <c r="L51" t="str">
        <f t="shared" si="1"/>
        <v>At Risk</v>
      </c>
      <c r="M51" t="str">
        <f t="shared" si="2"/>
        <v>Low Value | Low Spender | At Risk</v>
      </c>
    </row>
    <row r="52" spans="1:13" x14ac:dyDescent="0.35">
      <c r="A52">
        <v>51</v>
      </c>
      <c r="B52">
        <v>49</v>
      </c>
      <c r="C52" t="s">
        <v>18</v>
      </c>
      <c r="D52">
        <v>69000</v>
      </c>
      <c r="E52" t="s">
        <v>19</v>
      </c>
      <c r="F52">
        <v>590</v>
      </c>
      <c r="G52">
        <v>8.9</v>
      </c>
      <c r="H52" t="s">
        <v>20</v>
      </c>
      <c r="I52" t="s">
        <v>5</v>
      </c>
      <c r="J52">
        <v>24</v>
      </c>
      <c r="K52" t="str">
        <f t="shared" si="0"/>
        <v>High Spender</v>
      </c>
      <c r="L52" t="str">
        <f t="shared" si="1"/>
        <v>Loyal</v>
      </c>
      <c r="M52" t="str">
        <f t="shared" si="2"/>
        <v>High Value | High Spender | Loyal</v>
      </c>
    </row>
    <row r="53" spans="1:13" x14ac:dyDescent="0.35">
      <c r="A53">
        <v>52</v>
      </c>
      <c r="B53">
        <v>26</v>
      </c>
      <c r="C53" t="s">
        <v>14</v>
      </c>
      <c r="D53">
        <v>44000</v>
      </c>
      <c r="E53" t="s">
        <v>15</v>
      </c>
      <c r="F53">
        <v>240</v>
      </c>
      <c r="G53">
        <v>4.3</v>
      </c>
      <c r="H53" t="s">
        <v>16</v>
      </c>
      <c r="I53" t="s">
        <v>3</v>
      </c>
      <c r="J53">
        <v>14</v>
      </c>
      <c r="K53" t="str">
        <f t="shared" si="0"/>
        <v>Low Spender</v>
      </c>
      <c r="L53" t="str">
        <f t="shared" si="1"/>
        <v>At Risk</v>
      </c>
      <c r="M53" t="str">
        <f t="shared" si="2"/>
        <v>Low Value | Low Spender | At Risk</v>
      </c>
    </row>
    <row r="54" spans="1:13" x14ac:dyDescent="0.35">
      <c r="A54">
        <v>53</v>
      </c>
      <c r="B54">
        <v>45</v>
      </c>
      <c r="C54" t="s">
        <v>18</v>
      </c>
      <c r="D54">
        <v>65000</v>
      </c>
      <c r="E54" t="s">
        <v>19</v>
      </c>
      <c r="F54">
        <v>500</v>
      </c>
      <c r="G54">
        <v>8</v>
      </c>
      <c r="H54" t="s">
        <v>20</v>
      </c>
      <c r="I54" t="s">
        <v>4</v>
      </c>
      <c r="J54">
        <v>22</v>
      </c>
      <c r="K54" t="str">
        <f t="shared" si="0"/>
        <v>High Spender</v>
      </c>
      <c r="L54" t="str">
        <f t="shared" si="1"/>
        <v>Loyal</v>
      </c>
      <c r="M54" t="str">
        <f t="shared" si="2"/>
        <v>High Value | High Spender | Loyal</v>
      </c>
    </row>
    <row r="55" spans="1:13" x14ac:dyDescent="0.35">
      <c r="A55">
        <v>54</v>
      </c>
      <c r="B55">
        <v>40</v>
      </c>
      <c r="C55" t="s">
        <v>23</v>
      </c>
      <c r="D55">
        <v>60000</v>
      </c>
      <c r="E55" t="s">
        <v>19</v>
      </c>
      <c r="F55">
        <v>450</v>
      </c>
      <c r="G55">
        <v>7.2</v>
      </c>
      <c r="H55" t="s">
        <v>17</v>
      </c>
      <c r="I55" t="s">
        <v>5</v>
      </c>
      <c r="J55">
        <v>20</v>
      </c>
      <c r="K55" t="str">
        <f t="shared" si="0"/>
        <v>High Spender</v>
      </c>
      <c r="L55" t="str">
        <f t="shared" si="1"/>
        <v>Regular</v>
      </c>
      <c r="M55" t="str">
        <f t="shared" si="2"/>
        <v>Medium Value | High Spender | Regular</v>
      </c>
    </row>
    <row r="56" spans="1:13" x14ac:dyDescent="0.35">
      <c r="A56">
        <v>55</v>
      </c>
      <c r="B56">
        <v>38</v>
      </c>
      <c r="C56" t="s">
        <v>23</v>
      </c>
      <c r="D56">
        <v>59000</v>
      </c>
      <c r="E56" t="s">
        <v>15</v>
      </c>
      <c r="F56">
        <v>430</v>
      </c>
      <c r="G56">
        <v>6.9</v>
      </c>
      <c r="H56" t="s">
        <v>17</v>
      </c>
      <c r="I56" t="s">
        <v>3</v>
      </c>
      <c r="J56">
        <v>20</v>
      </c>
      <c r="K56" t="str">
        <f t="shared" si="0"/>
        <v>High Spender</v>
      </c>
      <c r="L56" t="str">
        <f t="shared" si="1"/>
        <v>Regular</v>
      </c>
      <c r="M56" t="str">
        <f t="shared" si="2"/>
        <v>Medium Value | High Spender | Regular</v>
      </c>
    </row>
    <row r="57" spans="1:13" x14ac:dyDescent="0.35">
      <c r="A57">
        <v>56</v>
      </c>
      <c r="B57">
        <v>54</v>
      </c>
      <c r="C57" t="s">
        <v>18</v>
      </c>
      <c r="D57">
        <v>74000</v>
      </c>
      <c r="E57" t="s">
        <v>19</v>
      </c>
      <c r="F57">
        <v>630</v>
      </c>
      <c r="G57">
        <v>9.4</v>
      </c>
      <c r="H57" t="s">
        <v>20</v>
      </c>
      <c r="I57" t="s">
        <v>4</v>
      </c>
      <c r="J57">
        <v>27</v>
      </c>
      <c r="K57" t="str">
        <f t="shared" si="0"/>
        <v>High Spender</v>
      </c>
      <c r="L57" t="str">
        <f t="shared" si="1"/>
        <v>Loyal</v>
      </c>
      <c r="M57" t="str">
        <f t="shared" si="2"/>
        <v>High Value | High Spender | Loyal</v>
      </c>
    </row>
    <row r="58" spans="1:13" x14ac:dyDescent="0.35">
      <c r="A58">
        <v>57</v>
      </c>
      <c r="B58">
        <v>32</v>
      </c>
      <c r="C58" t="s">
        <v>14</v>
      </c>
      <c r="D58">
        <v>52000</v>
      </c>
      <c r="E58" t="s">
        <v>15</v>
      </c>
      <c r="F58">
        <v>360</v>
      </c>
      <c r="G58">
        <v>5.8</v>
      </c>
      <c r="H58" t="s">
        <v>17</v>
      </c>
      <c r="I58" t="s">
        <v>5</v>
      </c>
      <c r="J58">
        <v>18</v>
      </c>
      <c r="K58" t="str">
        <f t="shared" si="0"/>
        <v>Medium Spender</v>
      </c>
      <c r="L58" t="str">
        <f t="shared" si="1"/>
        <v>Regular</v>
      </c>
      <c r="M58" t="str">
        <f t="shared" si="2"/>
        <v>Medium Value | Medium Spender | Regular</v>
      </c>
    </row>
    <row r="59" spans="1:13" x14ac:dyDescent="0.35">
      <c r="A59">
        <v>58</v>
      </c>
      <c r="B59">
        <v>31</v>
      </c>
      <c r="C59" t="s">
        <v>14</v>
      </c>
      <c r="D59">
        <v>51000</v>
      </c>
      <c r="E59" t="s">
        <v>15</v>
      </c>
      <c r="F59">
        <v>340</v>
      </c>
      <c r="G59">
        <v>5.6</v>
      </c>
      <c r="H59" t="s">
        <v>17</v>
      </c>
      <c r="I59" t="s">
        <v>3</v>
      </c>
      <c r="J59">
        <v>17</v>
      </c>
      <c r="K59" t="str">
        <f t="shared" si="0"/>
        <v>Medium Spender</v>
      </c>
      <c r="L59" t="str">
        <f t="shared" si="1"/>
        <v>Regular</v>
      </c>
      <c r="M59" t="str">
        <f t="shared" si="2"/>
        <v>Medium Value | Medium Spender | Regular</v>
      </c>
    </row>
    <row r="60" spans="1:13" x14ac:dyDescent="0.35">
      <c r="A60">
        <v>59</v>
      </c>
      <c r="B60">
        <v>42</v>
      </c>
      <c r="C60" t="s">
        <v>23</v>
      </c>
      <c r="D60">
        <v>62000</v>
      </c>
      <c r="E60" t="s">
        <v>19</v>
      </c>
      <c r="F60">
        <v>520</v>
      </c>
      <c r="G60">
        <v>8.1999999999999993</v>
      </c>
      <c r="H60" t="s">
        <v>20</v>
      </c>
      <c r="I60" t="s">
        <v>4</v>
      </c>
      <c r="J60">
        <v>23</v>
      </c>
      <c r="K60" t="str">
        <f t="shared" si="0"/>
        <v>High Spender</v>
      </c>
      <c r="L60" t="str">
        <f t="shared" si="1"/>
        <v>Loyal</v>
      </c>
      <c r="M60" t="str">
        <f t="shared" si="2"/>
        <v>High Value | High Spender | Loyal</v>
      </c>
    </row>
    <row r="61" spans="1:13" x14ac:dyDescent="0.35">
      <c r="A61">
        <v>60</v>
      </c>
      <c r="B61">
        <v>55</v>
      </c>
      <c r="C61" t="s">
        <v>18</v>
      </c>
      <c r="D61">
        <v>75000</v>
      </c>
      <c r="E61" t="s">
        <v>19</v>
      </c>
      <c r="F61">
        <v>640</v>
      </c>
      <c r="G61">
        <v>9.5</v>
      </c>
      <c r="H61" t="s">
        <v>20</v>
      </c>
      <c r="I61" t="s">
        <v>5</v>
      </c>
      <c r="J61">
        <v>28</v>
      </c>
      <c r="K61" t="str">
        <f t="shared" si="0"/>
        <v>High Spender</v>
      </c>
      <c r="L61" t="str">
        <f t="shared" si="1"/>
        <v>Loyal</v>
      </c>
      <c r="M61" t="str">
        <f t="shared" si="2"/>
        <v>High Value | High Spender | Loyal</v>
      </c>
    </row>
    <row r="62" spans="1:13" x14ac:dyDescent="0.35">
      <c r="A62">
        <v>61</v>
      </c>
      <c r="B62">
        <v>29</v>
      </c>
      <c r="C62" t="s">
        <v>14</v>
      </c>
      <c r="D62">
        <v>46000</v>
      </c>
      <c r="E62" t="s">
        <v>15</v>
      </c>
      <c r="F62">
        <v>270</v>
      </c>
      <c r="G62">
        <v>4.3</v>
      </c>
      <c r="H62" t="s">
        <v>16</v>
      </c>
      <c r="I62" t="s">
        <v>3</v>
      </c>
      <c r="J62">
        <v>15</v>
      </c>
      <c r="K62" t="str">
        <f t="shared" si="0"/>
        <v>Medium Spender</v>
      </c>
      <c r="L62" t="str">
        <f t="shared" si="1"/>
        <v>At Risk</v>
      </c>
      <c r="M62" t="str">
        <f t="shared" si="2"/>
        <v>Low Value | Medium Spender | At Risk</v>
      </c>
    </row>
    <row r="63" spans="1:13" x14ac:dyDescent="0.35">
      <c r="A63">
        <v>62</v>
      </c>
      <c r="B63">
        <v>33</v>
      </c>
      <c r="C63" t="s">
        <v>14</v>
      </c>
      <c r="D63">
        <v>53000</v>
      </c>
      <c r="E63" t="s">
        <v>15</v>
      </c>
      <c r="F63">
        <v>380</v>
      </c>
      <c r="G63">
        <v>6</v>
      </c>
      <c r="H63" t="s">
        <v>17</v>
      </c>
      <c r="I63" t="s">
        <v>4</v>
      </c>
      <c r="J63">
        <v>18</v>
      </c>
      <c r="K63" t="str">
        <f t="shared" si="0"/>
        <v>Medium Spender</v>
      </c>
      <c r="L63" t="str">
        <f t="shared" si="1"/>
        <v>Regular</v>
      </c>
      <c r="M63" t="str">
        <f t="shared" si="2"/>
        <v>Medium Value | Medium Spender | Regular</v>
      </c>
    </row>
    <row r="64" spans="1:13" x14ac:dyDescent="0.35">
      <c r="A64">
        <v>63</v>
      </c>
      <c r="B64">
        <v>51</v>
      </c>
      <c r="C64" t="s">
        <v>18</v>
      </c>
      <c r="D64">
        <v>71000</v>
      </c>
      <c r="E64" t="s">
        <v>19</v>
      </c>
      <c r="F64">
        <v>600</v>
      </c>
      <c r="G64">
        <v>9</v>
      </c>
      <c r="H64" t="s">
        <v>20</v>
      </c>
      <c r="I64" t="s">
        <v>5</v>
      </c>
      <c r="J64">
        <v>25</v>
      </c>
      <c r="K64" t="str">
        <f t="shared" si="0"/>
        <v>High Spender</v>
      </c>
      <c r="L64" t="str">
        <f t="shared" si="1"/>
        <v>Loyal</v>
      </c>
      <c r="M64" t="str">
        <f t="shared" si="2"/>
        <v>High Value | High Spender | Loyal</v>
      </c>
    </row>
    <row r="65" spans="1:13" x14ac:dyDescent="0.35">
      <c r="A65">
        <v>64</v>
      </c>
      <c r="B65">
        <v>27</v>
      </c>
      <c r="C65" t="s">
        <v>14</v>
      </c>
      <c r="D65">
        <v>43000</v>
      </c>
      <c r="E65" t="s">
        <v>15</v>
      </c>
      <c r="F65">
        <v>230</v>
      </c>
      <c r="G65">
        <v>4</v>
      </c>
      <c r="H65" t="s">
        <v>16</v>
      </c>
      <c r="I65" t="s">
        <v>3</v>
      </c>
      <c r="J65">
        <v>14</v>
      </c>
      <c r="K65" t="str">
        <f t="shared" si="0"/>
        <v>Low Spender</v>
      </c>
      <c r="L65" t="str">
        <f t="shared" si="1"/>
        <v>At Risk</v>
      </c>
      <c r="M65" t="str">
        <f t="shared" si="2"/>
        <v>Low Value | Low Spender | At Risk</v>
      </c>
    </row>
    <row r="66" spans="1:13" x14ac:dyDescent="0.35">
      <c r="A66">
        <v>65</v>
      </c>
      <c r="B66">
        <v>43</v>
      </c>
      <c r="C66" t="s">
        <v>23</v>
      </c>
      <c r="D66">
        <v>63000</v>
      </c>
      <c r="E66" t="s">
        <v>19</v>
      </c>
      <c r="F66">
        <v>470</v>
      </c>
      <c r="G66">
        <v>7.8</v>
      </c>
      <c r="H66" t="s">
        <v>17</v>
      </c>
      <c r="I66" t="s">
        <v>4</v>
      </c>
      <c r="J66">
        <v>21</v>
      </c>
      <c r="K66" t="str">
        <f t="shared" si="0"/>
        <v>High Spender</v>
      </c>
      <c r="L66" t="str">
        <f t="shared" si="1"/>
        <v>Regular</v>
      </c>
      <c r="M66" t="str">
        <f t="shared" si="2"/>
        <v>Medium Value | High Spender | Regular</v>
      </c>
    </row>
    <row r="67" spans="1:13" x14ac:dyDescent="0.35">
      <c r="A67">
        <v>66</v>
      </c>
      <c r="B67">
        <v>41</v>
      </c>
      <c r="C67" t="s">
        <v>23</v>
      </c>
      <c r="D67">
        <v>61000</v>
      </c>
      <c r="E67" t="s">
        <v>19</v>
      </c>
      <c r="F67">
        <v>480</v>
      </c>
      <c r="G67">
        <v>7.7</v>
      </c>
      <c r="H67" t="s">
        <v>17</v>
      </c>
      <c r="I67" t="s">
        <v>5</v>
      </c>
      <c r="J67">
        <v>22</v>
      </c>
      <c r="K67" t="str">
        <f t="shared" ref="K67:K130" si="3">IF(F67&gt;=400,"High Spender",IF(F67&gt;=250,"Medium Spender","Low Spender"))</f>
        <v>High Spender</v>
      </c>
      <c r="L67" t="str">
        <f t="shared" ref="L67:L130" si="4">IF(OR(G67&lt;5,J67&lt;10),"At Risk",IF(G67&gt;=8,"Loyal","Regular"))</f>
        <v>Regular</v>
      </c>
      <c r="M67" t="str">
        <f t="shared" ref="M67:M130" si="5">H67 &amp; " | " &amp; K67 &amp; " | " &amp; L67</f>
        <v>Medium Value | High Spender | Regular</v>
      </c>
    </row>
    <row r="68" spans="1:13" x14ac:dyDescent="0.35">
      <c r="A68">
        <v>67</v>
      </c>
      <c r="B68">
        <v>50</v>
      </c>
      <c r="C68" t="s">
        <v>18</v>
      </c>
      <c r="D68">
        <v>70000</v>
      </c>
      <c r="E68" t="s">
        <v>19</v>
      </c>
      <c r="F68">
        <v>600</v>
      </c>
      <c r="G68">
        <v>9</v>
      </c>
      <c r="H68" t="s">
        <v>20</v>
      </c>
      <c r="I68" t="s">
        <v>3</v>
      </c>
      <c r="J68">
        <v>25</v>
      </c>
      <c r="K68" t="str">
        <f t="shared" si="3"/>
        <v>High Spender</v>
      </c>
      <c r="L68" t="str">
        <f t="shared" si="4"/>
        <v>Loyal</v>
      </c>
      <c r="M68" t="str">
        <f t="shared" si="5"/>
        <v>High Value | High Spender | Loyal</v>
      </c>
    </row>
    <row r="69" spans="1:13" x14ac:dyDescent="0.35">
      <c r="A69">
        <v>68</v>
      </c>
      <c r="B69">
        <v>24</v>
      </c>
      <c r="C69" t="s">
        <v>21</v>
      </c>
      <c r="D69">
        <v>32000</v>
      </c>
      <c r="E69" t="s">
        <v>22</v>
      </c>
      <c r="F69">
        <v>170</v>
      </c>
      <c r="G69">
        <v>3.3</v>
      </c>
      <c r="H69" t="s">
        <v>16</v>
      </c>
      <c r="I69" t="s">
        <v>4</v>
      </c>
      <c r="J69">
        <v>11</v>
      </c>
      <c r="K69" t="str">
        <f t="shared" si="3"/>
        <v>Low Spender</v>
      </c>
      <c r="L69" t="str">
        <f t="shared" si="4"/>
        <v>At Risk</v>
      </c>
      <c r="M69" t="str">
        <f t="shared" si="5"/>
        <v>Low Value | Low Spender | At Risk</v>
      </c>
    </row>
    <row r="70" spans="1:13" x14ac:dyDescent="0.35">
      <c r="A70">
        <v>69</v>
      </c>
      <c r="B70">
        <v>48</v>
      </c>
      <c r="C70" t="s">
        <v>18</v>
      </c>
      <c r="D70">
        <v>68000</v>
      </c>
      <c r="E70" t="s">
        <v>19</v>
      </c>
      <c r="F70">
        <v>550</v>
      </c>
      <c r="G70">
        <v>8.5</v>
      </c>
      <c r="H70" t="s">
        <v>20</v>
      </c>
      <c r="I70" t="s">
        <v>5</v>
      </c>
      <c r="J70">
        <v>24</v>
      </c>
      <c r="K70" t="str">
        <f t="shared" si="3"/>
        <v>High Spender</v>
      </c>
      <c r="L70" t="str">
        <f t="shared" si="4"/>
        <v>Loyal</v>
      </c>
      <c r="M70" t="str">
        <f t="shared" si="5"/>
        <v>High Value | High Spender | Loyal</v>
      </c>
    </row>
    <row r="71" spans="1:13" x14ac:dyDescent="0.35">
      <c r="A71">
        <v>70</v>
      </c>
      <c r="B71">
        <v>30</v>
      </c>
      <c r="C71" t="s">
        <v>14</v>
      </c>
      <c r="D71">
        <v>49000</v>
      </c>
      <c r="E71" t="s">
        <v>15</v>
      </c>
      <c r="F71">
        <v>300</v>
      </c>
      <c r="G71">
        <v>5</v>
      </c>
      <c r="H71" t="s">
        <v>17</v>
      </c>
      <c r="I71" t="s">
        <v>3</v>
      </c>
      <c r="J71">
        <v>16</v>
      </c>
      <c r="K71" t="str">
        <f t="shared" si="3"/>
        <v>Medium Spender</v>
      </c>
      <c r="L71" t="str">
        <f t="shared" si="4"/>
        <v>Regular</v>
      </c>
      <c r="M71" t="str">
        <f t="shared" si="5"/>
        <v>Medium Value | Medium Spender | Regular</v>
      </c>
    </row>
    <row r="72" spans="1:13" x14ac:dyDescent="0.35">
      <c r="A72">
        <v>71</v>
      </c>
      <c r="B72">
        <v>39</v>
      </c>
      <c r="C72" t="s">
        <v>23</v>
      </c>
      <c r="D72">
        <v>57000</v>
      </c>
      <c r="E72" t="s">
        <v>15</v>
      </c>
      <c r="F72">
        <v>440</v>
      </c>
      <c r="G72">
        <v>7</v>
      </c>
      <c r="H72" t="s">
        <v>17</v>
      </c>
      <c r="I72" t="s">
        <v>4</v>
      </c>
      <c r="J72">
        <v>21</v>
      </c>
      <c r="K72" t="str">
        <f t="shared" si="3"/>
        <v>High Spender</v>
      </c>
      <c r="L72" t="str">
        <f t="shared" si="4"/>
        <v>Regular</v>
      </c>
      <c r="M72" t="str">
        <f t="shared" si="5"/>
        <v>Medium Value | High Spender | Regular</v>
      </c>
    </row>
    <row r="73" spans="1:13" x14ac:dyDescent="0.35">
      <c r="A73">
        <v>72</v>
      </c>
      <c r="B73">
        <v>37</v>
      </c>
      <c r="C73" t="s">
        <v>23</v>
      </c>
      <c r="D73">
        <v>58000</v>
      </c>
      <c r="E73" t="s">
        <v>15</v>
      </c>
      <c r="F73">
        <v>420</v>
      </c>
      <c r="G73">
        <v>6.8</v>
      </c>
      <c r="H73" t="s">
        <v>17</v>
      </c>
      <c r="I73" t="s">
        <v>5</v>
      </c>
      <c r="J73">
        <v>20</v>
      </c>
      <c r="K73" t="str">
        <f t="shared" si="3"/>
        <v>High Spender</v>
      </c>
      <c r="L73" t="str">
        <f t="shared" si="4"/>
        <v>Regular</v>
      </c>
      <c r="M73" t="str">
        <f t="shared" si="5"/>
        <v>Medium Value | High Spender | Regular</v>
      </c>
    </row>
    <row r="74" spans="1:13" x14ac:dyDescent="0.35">
      <c r="A74">
        <v>73</v>
      </c>
      <c r="B74">
        <v>46</v>
      </c>
      <c r="C74" t="s">
        <v>18</v>
      </c>
      <c r="D74">
        <v>66000</v>
      </c>
      <c r="E74" t="s">
        <v>19</v>
      </c>
      <c r="F74">
        <v>510</v>
      </c>
      <c r="G74">
        <v>8.1</v>
      </c>
      <c r="H74" t="s">
        <v>20</v>
      </c>
      <c r="I74" t="s">
        <v>3</v>
      </c>
      <c r="J74">
        <v>22</v>
      </c>
      <c r="K74" t="str">
        <f t="shared" si="3"/>
        <v>High Spender</v>
      </c>
      <c r="L74" t="str">
        <f t="shared" si="4"/>
        <v>Loyal</v>
      </c>
      <c r="M74" t="str">
        <f t="shared" si="5"/>
        <v>High Value | High Spender | Loyal</v>
      </c>
    </row>
    <row r="75" spans="1:13" x14ac:dyDescent="0.35">
      <c r="A75">
        <v>74</v>
      </c>
      <c r="B75">
        <v>33</v>
      </c>
      <c r="C75" t="s">
        <v>14</v>
      </c>
      <c r="D75">
        <v>53000</v>
      </c>
      <c r="E75" t="s">
        <v>15</v>
      </c>
      <c r="F75">
        <v>380</v>
      </c>
      <c r="G75">
        <v>6</v>
      </c>
      <c r="H75" t="s">
        <v>17</v>
      </c>
      <c r="I75" t="s">
        <v>4</v>
      </c>
      <c r="J75">
        <v>18</v>
      </c>
      <c r="K75" t="str">
        <f t="shared" si="3"/>
        <v>Medium Spender</v>
      </c>
      <c r="L75" t="str">
        <f t="shared" si="4"/>
        <v>Regular</v>
      </c>
      <c r="M75" t="str">
        <f t="shared" si="5"/>
        <v>Medium Value | Medium Spender | Regular</v>
      </c>
    </row>
    <row r="76" spans="1:13" x14ac:dyDescent="0.35">
      <c r="A76">
        <v>75</v>
      </c>
      <c r="B76">
        <v>52</v>
      </c>
      <c r="C76" t="s">
        <v>18</v>
      </c>
      <c r="D76">
        <v>72000</v>
      </c>
      <c r="E76" t="s">
        <v>19</v>
      </c>
      <c r="F76">
        <v>610</v>
      </c>
      <c r="G76">
        <v>9.1999999999999993</v>
      </c>
      <c r="H76" t="s">
        <v>20</v>
      </c>
      <c r="I76" t="s">
        <v>5</v>
      </c>
      <c r="J76">
        <v>26</v>
      </c>
      <c r="K76" t="str">
        <f t="shared" si="3"/>
        <v>High Spender</v>
      </c>
      <c r="L76" t="str">
        <f t="shared" si="4"/>
        <v>Loyal</v>
      </c>
      <c r="M76" t="str">
        <f t="shared" si="5"/>
        <v>High Value | High Spender | Loyal</v>
      </c>
    </row>
    <row r="77" spans="1:13" x14ac:dyDescent="0.35">
      <c r="A77">
        <v>76</v>
      </c>
      <c r="B77">
        <v>28</v>
      </c>
      <c r="C77" t="s">
        <v>14</v>
      </c>
      <c r="D77">
        <v>46000</v>
      </c>
      <c r="E77" t="s">
        <v>15</v>
      </c>
      <c r="F77">
        <v>250</v>
      </c>
      <c r="G77">
        <v>4.2</v>
      </c>
      <c r="H77" t="s">
        <v>16</v>
      </c>
      <c r="I77" t="s">
        <v>3</v>
      </c>
      <c r="J77">
        <v>14</v>
      </c>
      <c r="K77" t="str">
        <f t="shared" si="3"/>
        <v>Medium Spender</v>
      </c>
      <c r="L77" t="str">
        <f t="shared" si="4"/>
        <v>At Risk</v>
      </c>
      <c r="M77" t="str">
        <f t="shared" si="5"/>
        <v>Low Value | Medium Spender | At Risk</v>
      </c>
    </row>
    <row r="78" spans="1:13" x14ac:dyDescent="0.35">
      <c r="A78">
        <v>77</v>
      </c>
      <c r="B78">
        <v>41</v>
      </c>
      <c r="C78" t="s">
        <v>23</v>
      </c>
      <c r="D78">
        <v>61000</v>
      </c>
      <c r="E78" t="s">
        <v>19</v>
      </c>
      <c r="F78">
        <v>480</v>
      </c>
      <c r="G78">
        <v>7.8</v>
      </c>
      <c r="H78" t="s">
        <v>17</v>
      </c>
      <c r="I78" t="s">
        <v>4</v>
      </c>
      <c r="J78">
        <v>21</v>
      </c>
      <c r="K78" t="str">
        <f t="shared" si="3"/>
        <v>High Spender</v>
      </c>
      <c r="L78" t="str">
        <f t="shared" si="4"/>
        <v>Regular</v>
      </c>
      <c r="M78" t="str">
        <f t="shared" si="5"/>
        <v>Medium Value | High Spender | Regular</v>
      </c>
    </row>
    <row r="79" spans="1:13" x14ac:dyDescent="0.35">
      <c r="A79">
        <v>78</v>
      </c>
      <c r="B79">
        <v>50</v>
      </c>
      <c r="C79" t="s">
        <v>18</v>
      </c>
      <c r="D79">
        <v>70000</v>
      </c>
      <c r="E79" t="s">
        <v>19</v>
      </c>
      <c r="F79">
        <v>600</v>
      </c>
      <c r="G79">
        <v>9</v>
      </c>
      <c r="H79" t="s">
        <v>20</v>
      </c>
      <c r="I79" t="s">
        <v>5</v>
      </c>
      <c r="J79">
        <v>25</v>
      </c>
      <c r="K79" t="str">
        <f t="shared" si="3"/>
        <v>High Spender</v>
      </c>
      <c r="L79" t="str">
        <f t="shared" si="4"/>
        <v>Loyal</v>
      </c>
      <c r="M79" t="str">
        <f t="shared" si="5"/>
        <v>High Value | High Spender | Loyal</v>
      </c>
    </row>
    <row r="80" spans="1:13" x14ac:dyDescent="0.35">
      <c r="A80">
        <v>79</v>
      </c>
      <c r="B80">
        <v>36</v>
      </c>
      <c r="C80" t="s">
        <v>23</v>
      </c>
      <c r="D80">
        <v>54000</v>
      </c>
      <c r="E80" t="s">
        <v>15</v>
      </c>
      <c r="F80">
        <v>400</v>
      </c>
      <c r="G80">
        <v>6.5</v>
      </c>
      <c r="H80" t="s">
        <v>17</v>
      </c>
      <c r="I80" t="s">
        <v>3</v>
      </c>
      <c r="J80">
        <v>19</v>
      </c>
      <c r="K80" t="str">
        <f t="shared" si="3"/>
        <v>High Spender</v>
      </c>
      <c r="L80" t="str">
        <f t="shared" si="4"/>
        <v>Regular</v>
      </c>
      <c r="M80" t="str">
        <f t="shared" si="5"/>
        <v>Medium Value | High Spender | Regular</v>
      </c>
    </row>
    <row r="81" spans="1:13" x14ac:dyDescent="0.35">
      <c r="A81">
        <v>80</v>
      </c>
      <c r="B81">
        <v>24</v>
      </c>
      <c r="C81" t="s">
        <v>21</v>
      </c>
      <c r="D81">
        <v>32000</v>
      </c>
      <c r="E81" t="s">
        <v>22</v>
      </c>
      <c r="F81">
        <v>170</v>
      </c>
      <c r="G81">
        <v>3.3</v>
      </c>
      <c r="H81" t="s">
        <v>16</v>
      </c>
      <c r="I81" t="s">
        <v>4</v>
      </c>
      <c r="J81">
        <v>11</v>
      </c>
      <c r="K81" t="str">
        <f t="shared" si="3"/>
        <v>Low Spender</v>
      </c>
      <c r="L81" t="str">
        <f t="shared" si="4"/>
        <v>At Risk</v>
      </c>
      <c r="M81" t="str">
        <f t="shared" si="5"/>
        <v>Low Value | Low Spender | At Risk</v>
      </c>
    </row>
    <row r="82" spans="1:13" x14ac:dyDescent="0.35">
      <c r="A82">
        <v>81</v>
      </c>
      <c r="B82">
        <v>49</v>
      </c>
      <c r="C82" t="s">
        <v>18</v>
      </c>
      <c r="D82">
        <v>69000</v>
      </c>
      <c r="E82" t="s">
        <v>19</v>
      </c>
      <c r="F82">
        <v>590</v>
      </c>
      <c r="G82">
        <v>8.9</v>
      </c>
      <c r="H82" t="s">
        <v>20</v>
      </c>
      <c r="I82" t="s">
        <v>5</v>
      </c>
      <c r="J82">
        <v>24</v>
      </c>
      <c r="K82" t="str">
        <f t="shared" si="3"/>
        <v>High Spender</v>
      </c>
      <c r="L82" t="str">
        <f t="shared" si="4"/>
        <v>Loyal</v>
      </c>
      <c r="M82" t="str">
        <f t="shared" si="5"/>
        <v>High Value | High Spender | Loyal</v>
      </c>
    </row>
    <row r="83" spans="1:13" x14ac:dyDescent="0.35">
      <c r="A83">
        <v>82</v>
      </c>
      <c r="B83">
        <v>26</v>
      </c>
      <c r="C83" t="s">
        <v>14</v>
      </c>
      <c r="D83">
        <v>44000</v>
      </c>
      <c r="E83" t="s">
        <v>15</v>
      </c>
      <c r="F83">
        <v>240</v>
      </c>
      <c r="G83">
        <v>4.3</v>
      </c>
      <c r="H83" t="s">
        <v>16</v>
      </c>
      <c r="I83" t="s">
        <v>3</v>
      </c>
      <c r="J83">
        <v>14</v>
      </c>
      <c r="K83" t="str">
        <f t="shared" si="3"/>
        <v>Low Spender</v>
      </c>
      <c r="L83" t="str">
        <f t="shared" si="4"/>
        <v>At Risk</v>
      </c>
      <c r="M83" t="str">
        <f t="shared" si="5"/>
        <v>Low Value | Low Spender | At Risk</v>
      </c>
    </row>
    <row r="84" spans="1:13" x14ac:dyDescent="0.35">
      <c r="A84">
        <v>83</v>
      </c>
      <c r="B84">
        <v>45</v>
      </c>
      <c r="C84" t="s">
        <v>18</v>
      </c>
      <c r="D84">
        <v>65000</v>
      </c>
      <c r="E84" t="s">
        <v>19</v>
      </c>
      <c r="F84">
        <v>500</v>
      </c>
      <c r="G84">
        <v>8</v>
      </c>
      <c r="H84" t="s">
        <v>20</v>
      </c>
      <c r="I84" t="s">
        <v>4</v>
      </c>
      <c r="J84">
        <v>22</v>
      </c>
      <c r="K84" t="str">
        <f t="shared" si="3"/>
        <v>High Spender</v>
      </c>
      <c r="L84" t="str">
        <f t="shared" si="4"/>
        <v>Loyal</v>
      </c>
      <c r="M84" t="str">
        <f t="shared" si="5"/>
        <v>High Value | High Spender | Loyal</v>
      </c>
    </row>
    <row r="85" spans="1:13" x14ac:dyDescent="0.35">
      <c r="A85">
        <v>84</v>
      </c>
      <c r="B85">
        <v>40</v>
      </c>
      <c r="C85" t="s">
        <v>23</v>
      </c>
      <c r="D85">
        <v>60000</v>
      </c>
      <c r="E85" t="s">
        <v>19</v>
      </c>
      <c r="F85">
        <v>450</v>
      </c>
      <c r="G85">
        <v>7.2</v>
      </c>
      <c r="H85" t="s">
        <v>17</v>
      </c>
      <c r="I85" t="s">
        <v>5</v>
      </c>
      <c r="J85">
        <v>20</v>
      </c>
      <c r="K85" t="str">
        <f t="shared" si="3"/>
        <v>High Spender</v>
      </c>
      <c r="L85" t="str">
        <f t="shared" si="4"/>
        <v>Regular</v>
      </c>
      <c r="M85" t="str">
        <f t="shared" si="5"/>
        <v>Medium Value | High Spender | Regular</v>
      </c>
    </row>
    <row r="86" spans="1:13" x14ac:dyDescent="0.35">
      <c r="A86">
        <v>85</v>
      </c>
      <c r="B86">
        <v>38</v>
      </c>
      <c r="C86" t="s">
        <v>23</v>
      </c>
      <c r="D86">
        <v>59000</v>
      </c>
      <c r="E86" t="s">
        <v>15</v>
      </c>
      <c r="F86">
        <v>430</v>
      </c>
      <c r="G86">
        <v>6.9</v>
      </c>
      <c r="H86" t="s">
        <v>17</v>
      </c>
      <c r="I86" t="s">
        <v>3</v>
      </c>
      <c r="J86">
        <v>20</v>
      </c>
      <c r="K86" t="str">
        <f t="shared" si="3"/>
        <v>High Spender</v>
      </c>
      <c r="L86" t="str">
        <f t="shared" si="4"/>
        <v>Regular</v>
      </c>
      <c r="M86" t="str">
        <f t="shared" si="5"/>
        <v>Medium Value | High Spender | Regular</v>
      </c>
    </row>
    <row r="87" spans="1:13" x14ac:dyDescent="0.35">
      <c r="A87">
        <v>86</v>
      </c>
      <c r="B87">
        <v>54</v>
      </c>
      <c r="C87" t="s">
        <v>18</v>
      </c>
      <c r="D87">
        <v>74000</v>
      </c>
      <c r="E87" t="s">
        <v>19</v>
      </c>
      <c r="F87">
        <v>630</v>
      </c>
      <c r="G87">
        <v>9.4</v>
      </c>
      <c r="H87" t="s">
        <v>20</v>
      </c>
      <c r="I87" t="s">
        <v>4</v>
      </c>
      <c r="J87">
        <v>27</v>
      </c>
      <c r="K87" t="str">
        <f t="shared" si="3"/>
        <v>High Spender</v>
      </c>
      <c r="L87" t="str">
        <f t="shared" si="4"/>
        <v>Loyal</v>
      </c>
      <c r="M87" t="str">
        <f t="shared" si="5"/>
        <v>High Value | High Spender | Loyal</v>
      </c>
    </row>
    <row r="88" spans="1:13" x14ac:dyDescent="0.35">
      <c r="A88">
        <v>87</v>
      </c>
      <c r="B88">
        <v>32</v>
      </c>
      <c r="C88" t="s">
        <v>14</v>
      </c>
      <c r="D88">
        <v>52000</v>
      </c>
      <c r="E88" t="s">
        <v>15</v>
      </c>
      <c r="F88">
        <v>360</v>
      </c>
      <c r="G88">
        <v>5.8</v>
      </c>
      <c r="H88" t="s">
        <v>17</v>
      </c>
      <c r="I88" t="s">
        <v>5</v>
      </c>
      <c r="J88">
        <v>18</v>
      </c>
      <c r="K88" t="str">
        <f t="shared" si="3"/>
        <v>Medium Spender</v>
      </c>
      <c r="L88" t="str">
        <f t="shared" si="4"/>
        <v>Regular</v>
      </c>
      <c r="M88" t="str">
        <f t="shared" si="5"/>
        <v>Medium Value | Medium Spender | Regular</v>
      </c>
    </row>
    <row r="89" spans="1:13" x14ac:dyDescent="0.35">
      <c r="A89">
        <v>88</v>
      </c>
      <c r="B89">
        <v>31</v>
      </c>
      <c r="C89" t="s">
        <v>14</v>
      </c>
      <c r="D89">
        <v>51000</v>
      </c>
      <c r="E89" t="s">
        <v>15</v>
      </c>
      <c r="F89">
        <v>340</v>
      </c>
      <c r="G89">
        <v>5.6</v>
      </c>
      <c r="H89" t="s">
        <v>17</v>
      </c>
      <c r="I89" t="s">
        <v>3</v>
      </c>
      <c r="J89">
        <v>17</v>
      </c>
      <c r="K89" t="str">
        <f t="shared" si="3"/>
        <v>Medium Spender</v>
      </c>
      <c r="L89" t="str">
        <f t="shared" si="4"/>
        <v>Regular</v>
      </c>
      <c r="M89" t="str">
        <f t="shared" si="5"/>
        <v>Medium Value | Medium Spender | Regular</v>
      </c>
    </row>
    <row r="90" spans="1:13" x14ac:dyDescent="0.35">
      <c r="A90">
        <v>89</v>
      </c>
      <c r="B90">
        <v>42</v>
      </c>
      <c r="C90" t="s">
        <v>23</v>
      </c>
      <c r="D90">
        <v>62000</v>
      </c>
      <c r="E90" t="s">
        <v>19</v>
      </c>
      <c r="F90">
        <v>520</v>
      </c>
      <c r="G90">
        <v>8.1999999999999993</v>
      </c>
      <c r="H90" t="s">
        <v>20</v>
      </c>
      <c r="I90" t="s">
        <v>4</v>
      </c>
      <c r="J90">
        <v>23</v>
      </c>
      <c r="K90" t="str">
        <f t="shared" si="3"/>
        <v>High Spender</v>
      </c>
      <c r="L90" t="str">
        <f t="shared" si="4"/>
        <v>Loyal</v>
      </c>
      <c r="M90" t="str">
        <f t="shared" si="5"/>
        <v>High Value | High Spender | Loyal</v>
      </c>
    </row>
    <row r="91" spans="1:13" x14ac:dyDescent="0.35">
      <c r="A91">
        <v>90</v>
      </c>
      <c r="B91">
        <v>55</v>
      </c>
      <c r="C91" t="s">
        <v>18</v>
      </c>
      <c r="D91">
        <v>75000</v>
      </c>
      <c r="E91" t="s">
        <v>19</v>
      </c>
      <c r="F91">
        <v>640</v>
      </c>
      <c r="G91">
        <v>9.5</v>
      </c>
      <c r="H91" t="s">
        <v>20</v>
      </c>
      <c r="I91" t="s">
        <v>5</v>
      </c>
      <c r="J91">
        <v>28</v>
      </c>
      <c r="K91" t="str">
        <f t="shared" si="3"/>
        <v>High Spender</v>
      </c>
      <c r="L91" t="str">
        <f t="shared" si="4"/>
        <v>Loyal</v>
      </c>
      <c r="M91" t="str">
        <f t="shared" si="5"/>
        <v>High Value | High Spender | Loyal</v>
      </c>
    </row>
    <row r="92" spans="1:13" x14ac:dyDescent="0.35">
      <c r="A92">
        <v>91</v>
      </c>
      <c r="B92">
        <v>29</v>
      </c>
      <c r="C92" t="s">
        <v>14</v>
      </c>
      <c r="D92">
        <v>46000</v>
      </c>
      <c r="E92" t="s">
        <v>15</v>
      </c>
      <c r="F92">
        <v>270</v>
      </c>
      <c r="G92">
        <v>4.3</v>
      </c>
      <c r="H92" t="s">
        <v>16</v>
      </c>
      <c r="I92" t="s">
        <v>3</v>
      </c>
      <c r="J92">
        <v>15</v>
      </c>
      <c r="K92" t="str">
        <f t="shared" si="3"/>
        <v>Medium Spender</v>
      </c>
      <c r="L92" t="str">
        <f t="shared" si="4"/>
        <v>At Risk</v>
      </c>
      <c r="M92" t="str">
        <f t="shared" si="5"/>
        <v>Low Value | Medium Spender | At Risk</v>
      </c>
    </row>
    <row r="93" spans="1:13" x14ac:dyDescent="0.35">
      <c r="A93">
        <v>92</v>
      </c>
      <c r="B93">
        <v>33</v>
      </c>
      <c r="C93" t="s">
        <v>14</v>
      </c>
      <c r="D93">
        <v>53000</v>
      </c>
      <c r="E93" t="s">
        <v>15</v>
      </c>
      <c r="F93">
        <v>380</v>
      </c>
      <c r="G93">
        <v>6</v>
      </c>
      <c r="H93" t="s">
        <v>17</v>
      </c>
      <c r="I93" t="s">
        <v>4</v>
      </c>
      <c r="J93">
        <v>18</v>
      </c>
      <c r="K93" t="str">
        <f t="shared" si="3"/>
        <v>Medium Spender</v>
      </c>
      <c r="L93" t="str">
        <f t="shared" si="4"/>
        <v>Regular</v>
      </c>
      <c r="M93" t="str">
        <f t="shared" si="5"/>
        <v>Medium Value | Medium Spender | Regular</v>
      </c>
    </row>
    <row r="94" spans="1:13" x14ac:dyDescent="0.35">
      <c r="A94">
        <v>93</v>
      </c>
      <c r="B94">
        <v>51</v>
      </c>
      <c r="C94" t="s">
        <v>18</v>
      </c>
      <c r="D94">
        <v>71000</v>
      </c>
      <c r="E94" t="s">
        <v>19</v>
      </c>
      <c r="F94">
        <v>600</v>
      </c>
      <c r="G94">
        <v>9</v>
      </c>
      <c r="H94" t="s">
        <v>20</v>
      </c>
      <c r="I94" t="s">
        <v>5</v>
      </c>
      <c r="J94">
        <v>25</v>
      </c>
      <c r="K94" t="str">
        <f t="shared" si="3"/>
        <v>High Spender</v>
      </c>
      <c r="L94" t="str">
        <f t="shared" si="4"/>
        <v>Loyal</v>
      </c>
      <c r="M94" t="str">
        <f t="shared" si="5"/>
        <v>High Value | High Spender | Loyal</v>
      </c>
    </row>
    <row r="95" spans="1:13" x14ac:dyDescent="0.35">
      <c r="A95">
        <v>94</v>
      </c>
      <c r="B95">
        <v>27</v>
      </c>
      <c r="C95" t="s">
        <v>14</v>
      </c>
      <c r="D95">
        <v>43000</v>
      </c>
      <c r="E95" t="s">
        <v>15</v>
      </c>
      <c r="F95">
        <v>230</v>
      </c>
      <c r="G95">
        <v>4</v>
      </c>
      <c r="H95" t="s">
        <v>16</v>
      </c>
      <c r="I95" t="s">
        <v>3</v>
      </c>
      <c r="J95">
        <v>14</v>
      </c>
      <c r="K95" t="str">
        <f t="shared" si="3"/>
        <v>Low Spender</v>
      </c>
      <c r="L95" t="str">
        <f t="shared" si="4"/>
        <v>At Risk</v>
      </c>
      <c r="M95" t="str">
        <f t="shared" si="5"/>
        <v>Low Value | Low Spender | At Risk</v>
      </c>
    </row>
    <row r="96" spans="1:13" x14ac:dyDescent="0.35">
      <c r="A96">
        <v>95</v>
      </c>
      <c r="B96">
        <v>43</v>
      </c>
      <c r="C96" t="s">
        <v>23</v>
      </c>
      <c r="D96">
        <v>63000</v>
      </c>
      <c r="E96" t="s">
        <v>19</v>
      </c>
      <c r="F96">
        <v>470</v>
      </c>
      <c r="G96">
        <v>7.8</v>
      </c>
      <c r="H96" t="s">
        <v>17</v>
      </c>
      <c r="I96" t="s">
        <v>4</v>
      </c>
      <c r="J96">
        <v>21</v>
      </c>
      <c r="K96" t="str">
        <f t="shared" si="3"/>
        <v>High Spender</v>
      </c>
      <c r="L96" t="str">
        <f t="shared" si="4"/>
        <v>Regular</v>
      </c>
      <c r="M96" t="str">
        <f t="shared" si="5"/>
        <v>Medium Value | High Spender | Regular</v>
      </c>
    </row>
    <row r="97" spans="1:13" x14ac:dyDescent="0.35">
      <c r="A97">
        <v>96</v>
      </c>
      <c r="B97">
        <v>41</v>
      </c>
      <c r="C97" t="s">
        <v>23</v>
      </c>
      <c r="D97">
        <v>61000</v>
      </c>
      <c r="E97" t="s">
        <v>19</v>
      </c>
      <c r="F97">
        <v>480</v>
      </c>
      <c r="G97">
        <v>7.7</v>
      </c>
      <c r="H97" t="s">
        <v>17</v>
      </c>
      <c r="I97" t="s">
        <v>5</v>
      </c>
      <c r="J97">
        <v>22</v>
      </c>
      <c r="K97" t="str">
        <f t="shared" si="3"/>
        <v>High Spender</v>
      </c>
      <c r="L97" t="str">
        <f t="shared" si="4"/>
        <v>Regular</v>
      </c>
      <c r="M97" t="str">
        <f t="shared" si="5"/>
        <v>Medium Value | High Spender | Regular</v>
      </c>
    </row>
    <row r="98" spans="1:13" x14ac:dyDescent="0.35">
      <c r="A98">
        <v>97</v>
      </c>
      <c r="B98">
        <v>50</v>
      </c>
      <c r="C98" t="s">
        <v>18</v>
      </c>
      <c r="D98">
        <v>70000</v>
      </c>
      <c r="E98" t="s">
        <v>19</v>
      </c>
      <c r="F98">
        <v>600</v>
      </c>
      <c r="G98">
        <v>9</v>
      </c>
      <c r="H98" t="s">
        <v>20</v>
      </c>
      <c r="I98" t="s">
        <v>3</v>
      </c>
      <c r="J98">
        <v>25</v>
      </c>
      <c r="K98" t="str">
        <f t="shared" si="3"/>
        <v>High Spender</v>
      </c>
      <c r="L98" t="str">
        <f t="shared" si="4"/>
        <v>Loyal</v>
      </c>
      <c r="M98" t="str">
        <f t="shared" si="5"/>
        <v>High Value | High Spender | Loyal</v>
      </c>
    </row>
    <row r="99" spans="1:13" x14ac:dyDescent="0.35">
      <c r="A99">
        <v>98</v>
      </c>
      <c r="B99">
        <v>24</v>
      </c>
      <c r="C99" t="s">
        <v>21</v>
      </c>
      <c r="D99">
        <v>32000</v>
      </c>
      <c r="E99" t="s">
        <v>22</v>
      </c>
      <c r="F99">
        <v>170</v>
      </c>
      <c r="G99">
        <v>3.3</v>
      </c>
      <c r="H99" t="s">
        <v>16</v>
      </c>
      <c r="I99" t="s">
        <v>4</v>
      </c>
      <c r="J99">
        <v>11</v>
      </c>
      <c r="K99" t="str">
        <f t="shared" si="3"/>
        <v>Low Spender</v>
      </c>
      <c r="L99" t="str">
        <f t="shared" si="4"/>
        <v>At Risk</v>
      </c>
      <c r="M99" t="str">
        <f t="shared" si="5"/>
        <v>Low Value | Low Spender | At Risk</v>
      </c>
    </row>
    <row r="100" spans="1:13" x14ac:dyDescent="0.35">
      <c r="A100">
        <v>99</v>
      </c>
      <c r="B100">
        <v>48</v>
      </c>
      <c r="C100" t="s">
        <v>18</v>
      </c>
      <c r="D100">
        <v>68000</v>
      </c>
      <c r="E100" t="s">
        <v>19</v>
      </c>
      <c r="F100">
        <v>550</v>
      </c>
      <c r="G100">
        <v>8.5</v>
      </c>
      <c r="H100" t="s">
        <v>20</v>
      </c>
      <c r="I100" t="s">
        <v>5</v>
      </c>
      <c r="J100">
        <v>24</v>
      </c>
      <c r="K100" t="str">
        <f t="shared" si="3"/>
        <v>High Spender</v>
      </c>
      <c r="L100" t="str">
        <f t="shared" si="4"/>
        <v>Loyal</v>
      </c>
      <c r="M100" t="str">
        <f t="shared" si="5"/>
        <v>High Value | High Spender | Loyal</v>
      </c>
    </row>
    <row r="101" spans="1:13" x14ac:dyDescent="0.35">
      <c r="A101">
        <v>100</v>
      </c>
      <c r="B101">
        <v>30</v>
      </c>
      <c r="C101" t="s">
        <v>14</v>
      </c>
      <c r="D101">
        <v>49000</v>
      </c>
      <c r="E101" t="s">
        <v>15</v>
      </c>
      <c r="F101">
        <v>300</v>
      </c>
      <c r="G101">
        <v>5</v>
      </c>
      <c r="H101" t="s">
        <v>17</v>
      </c>
      <c r="I101" t="s">
        <v>3</v>
      </c>
      <c r="J101">
        <v>16</v>
      </c>
      <c r="K101" t="str">
        <f t="shared" si="3"/>
        <v>Medium Spender</v>
      </c>
      <c r="L101" t="str">
        <f t="shared" si="4"/>
        <v>Regular</v>
      </c>
      <c r="M101" t="str">
        <f t="shared" si="5"/>
        <v>Medium Value | Medium Spender | Regular</v>
      </c>
    </row>
    <row r="102" spans="1:13" x14ac:dyDescent="0.35">
      <c r="A102">
        <v>101</v>
      </c>
      <c r="B102">
        <v>39</v>
      </c>
      <c r="C102" t="s">
        <v>23</v>
      </c>
      <c r="D102">
        <v>57000</v>
      </c>
      <c r="E102" t="s">
        <v>15</v>
      </c>
      <c r="F102">
        <v>440</v>
      </c>
      <c r="G102">
        <v>7</v>
      </c>
      <c r="H102" t="s">
        <v>17</v>
      </c>
      <c r="I102" t="s">
        <v>4</v>
      </c>
      <c r="J102">
        <v>21</v>
      </c>
      <c r="K102" t="str">
        <f t="shared" si="3"/>
        <v>High Spender</v>
      </c>
      <c r="L102" t="str">
        <f t="shared" si="4"/>
        <v>Regular</v>
      </c>
      <c r="M102" t="str">
        <f t="shared" si="5"/>
        <v>Medium Value | High Spender | Regular</v>
      </c>
    </row>
    <row r="103" spans="1:13" x14ac:dyDescent="0.35">
      <c r="A103">
        <v>102</v>
      </c>
      <c r="B103">
        <v>37</v>
      </c>
      <c r="C103" t="s">
        <v>23</v>
      </c>
      <c r="D103">
        <v>58000</v>
      </c>
      <c r="E103" t="s">
        <v>15</v>
      </c>
      <c r="F103">
        <v>420</v>
      </c>
      <c r="G103">
        <v>6.8</v>
      </c>
      <c r="H103" t="s">
        <v>17</v>
      </c>
      <c r="I103" t="s">
        <v>5</v>
      </c>
      <c r="J103">
        <v>20</v>
      </c>
      <c r="K103" t="str">
        <f t="shared" si="3"/>
        <v>High Spender</v>
      </c>
      <c r="L103" t="str">
        <f t="shared" si="4"/>
        <v>Regular</v>
      </c>
      <c r="M103" t="str">
        <f t="shared" si="5"/>
        <v>Medium Value | High Spender | Regular</v>
      </c>
    </row>
    <row r="104" spans="1:13" x14ac:dyDescent="0.35">
      <c r="A104">
        <v>103</v>
      </c>
      <c r="B104">
        <v>46</v>
      </c>
      <c r="C104" t="s">
        <v>18</v>
      </c>
      <c r="D104">
        <v>66000</v>
      </c>
      <c r="E104" t="s">
        <v>19</v>
      </c>
      <c r="F104">
        <v>510</v>
      </c>
      <c r="G104">
        <v>8.1</v>
      </c>
      <c r="H104" t="s">
        <v>20</v>
      </c>
      <c r="I104" t="s">
        <v>3</v>
      </c>
      <c r="J104">
        <v>22</v>
      </c>
      <c r="K104" t="str">
        <f t="shared" si="3"/>
        <v>High Spender</v>
      </c>
      <c r="L104" t="str">
        <f t="shared" si="4"/>
        <v>Loyal</v>
      </c>
      <c r="M104" t="str">
        <f t="shared" si="5"/>
        <v>High Value | High Spender | Loyal</v>
      </c>
    </row>
    <row r="105" spans="1:13" x14ac:dyDescent="0.35">
      <c r="A105">
        <v>104</v>
      </c>
      <c r="B105">
        <v>33</v>
      </c>
      <c r="C105" t="s">
        <v>14</v>
      </c>
      <c r="D105">
        <v>53000</v>
      </c>
      <c r="E105" t="s">
        <v>15</v>
      </c>
      <c r="F105">
        <v>380</v>
      </c>
      <c r="G105">
        <v>6</v>
      </c>
      <c r="H105" t="s">
        <v>17</v>
      </c>
      <c r="I105" t="s">
        <v>4</v>
      </c>
      <c r="J105">
        <v>18</v>
      </c>
      <c r="K105" t="str">
        <f t="shared" si="3"/>
        <v>Medium Spender</v>
      </c>
      <c r="L105" t="str">
        <f t="shared" si="4"/>
        <v>Regular</v>
      </c>
      <c r="M105" t="str">
        <f t="shared" si="5"/>
        <v>Medium Value | Medium Spender | Regular</v>
      </c>
    </row>
    <row r="106" spans="1:13" x14ac:dyDescent="0.35">
      <c r="A106">
        <v>105</v>
      </c>
      <c r="B106">
        <v>52</v>
      </c>
      <c r="C106" t="s">
        <v>18</v>
      </c>
      <c r="D106">
        <v>72000</v>
      </c>
      <c r="E106" t="s">
        <v>19</v>
      </c>
      <c r="F106">
        <v>610</v>
      </c>
      <c r="G106">
        <v>9.1999999999999993</v>
      </c>
      <c r="H106" t="s">
        <v>20</v>
      </c>
      <c r="I106" t="s">
        <v>5</v>
      </c>
      <c r="J106">
        <v>26</v>
      </c>
      <c r="K106" t="str">
        <f t="shared" si="3"/>
        <v>High Spender</v>
      </c>
      <c r="L106" t="str">
        <f t="shared" si="4"/>
        <v>Loyal</v>
      </c>
      <c r="M106" t="str">
        <f t="shared" si="5"/>
        <v>High Value | High Spender | Loyal</v>
      </c>
    </row>
    <row r="107" spans="1:13" x14ac:dyDescent="0.35">
      <c r="A107">
        <v>106</v>
      </c>
      <c r="B107">
        <v>28</v>
      </c>
      <c r="C107" t="s">
        <v>14</v>
      </c>
      <c r="D107">
        <v>46000</v>
      </c>
      <c r="E107" t="s">
        <v>15</v>
      </c>
      <c r="F107">
        <v>250</v>
      </c>
      <c r="G107">
        <v>4.2</v>
      </c>
      <c r="H107" t="s">
        <v>16</v>
      </c>
      <c r="I107" t="s">
        <v>3</v>
      </c>
      <c r="J107">
        <v>14</v>
      </c>
      <c r="K107" t="str">
        <f t="shared" si="3"/>
        <v>Medium Spender</v>
      </c>
      <c r="L107" t="str">
        <f t="shared" si="4"/>
        <v>At Risk</v>
      </c>
      <c r="M107" t="str">
        <f t="shared" si="5"/>
        <v>Low Value | Medium Spender | At Risk</v>
      </c>
    </row>
    <row r="108" spans="1:13" x14ac:dyDescent="0.35">
      <c r="A108">
        <v>107</v>
      </c>
      <c r="B108">
        <v>41</v>
      </c>
      <c r="C108" t="s">
        <v>23</v>
      </c>
      <c r="D108">
        <v>61000</v>
      </c>
      <c r="E108" t="s">
        <v>19</v>
      </c>
      <c r="F108">
        <v>480</v>
      </c>
      <c r="G108">
        <v>7.8</v>
      </c>
      <c r="H108" t="s">
        <v>17</v>
      </c>
      <c r="I108" t="s">
        <v>4</v>
      </c>
      <c r="J108">
        <v>21</v>
      </c>
      <c r="K108" t="str">
        <f t="shared" si="3"/>
        <v>High Spender</v>
      </c>
      <c r="L108" t="str">
        <f t="shared" si="4"/>
        <v>Regular</v>
      </c>
      <c r="M108" t="str">
        <f t="shared" si="5"/>
        <v>Medium Value | High Spender | Regular</v>
      </c>
    </row>
    <row r="109" spans="1:13" x14ac:dyDescent="0.35">
      <c r="A109">
        <v>108</v>
      </c>
      <c r="B109">
        <v>50</v>
      </c>
      <c r="C109" t="s">
        <v>18</v>
      </c>
      <c r="D109">
        <v>70000</v>
      </c>
      <c r="E109" t="s">
        <v>19</v>
      </c>
      <c r="F109">
        <v>600</v>
      </c>
      <c r="G109">
        <v>9</v>
      </c>
      <c r="H109" t="s">
        <v>20</v>
      </c>
      <c r="I109" t="s">
        <v>5</v>
      </c>
      <c r="J109">
        <v>25</v>
      </c>
      <c r="K109" t="str">
        <f t="shared" si="3"/>
        <v>High Spender</v>
      </c>
      <c r="L109" t="str">
        <f t="shared" si="4"/>
        <v>Loyal</v>
      </c>
      <c r="M109" t="str">
        <f t="shared" si="5"/>
        <v>High Value | High Spender | Loyal</v>
      </c>
    </row>
    <row r="110" spans="1:13" x14ac:dyDescent="0.35">
      <c r="A110">
        <v>109</v>
      </c>
      <c r="B110">
        <v>36</v>
      </c>
      <c r="C110" t="s">
        <v>23</v>
      </c>
      <c r="D110">
        <v>54000</v>
      </c>
      <c r="E110" t="s">
        <v>15</v>
      </c>
      <c r="F110">
        <v>400</v>
      </c>
      <c r="G110">
        <v>6.5</v>
      </c>
      <c r="H110" t="s">
        <v>17</v>
      </c>
      <c r="I110" t="s">
        <v>3</v>
      </c>
      <c r="J110">
        <v>19</v>
      </c>
      <c r="K110" t="str">
        <f t="shared" si="3"/>
        <v>High Spender</v>
      </c>
      <c r="L110" t="str">
        <f t="shared" si="4"/>
        <v>Regular</v>
      </c>
      <c r="M110" t="str">
        <f t="shared" si="5"/>
        <v>Medium Value | High Spender | Regular</v>
      </c>
    </row>
    <row r="111" spans="1:13" x14ac:dyDescent="0.35">
      <c r="A111">
        <v>110</v>
      </c>
      <c r="B111">
        <v>24</v>
      </c>
      <c r="C111" t="s">
        <v>21</v>
      </c>
      <c r="D111">
        <v>32000</v>
      </c>
      <c r="E111" t="s">
        <v>22</v>
      </c>
      <c r="F111">
        <v>170</v>
      </c>
      <c r="G111">
        <v>3.3</v>
      </c>
      <c r="H111" t="s">
        <v>16</v>
      </c>
      <c r="I111" t="s">
        <v>4</v>
      </c>
      <c r="J111">
        <v>11</v>
      </c>
      <c r="K111" t="str">
        <f t="shared" si="3"/>
        <v>Low Spender</v>
      </c>
      <c r="L111" t="str">
        <f t="shared" si="4"/>
        <v>At Risk</v>
      </c>
      <c r="M111" t="str">
        <f t="shared" si="5"/>
        <v>Low Value | Low Spender | At Risk</v>
      </c>
    </row>
    <row r="112" spans="1:13" x14ac:dyDescent="0.35">
      <c r="A112">
        <v>111</v>
      </c>
      <c r="B112">
        <v>49</v>
      </c>
      <c r="C112" t="s">
        <v>18</v>
      </c>
      <c r="D112">
        <v>69000</v>
      </c>
      <c r="E112" t="s">
        <v>19</v>
      </c>
      <c r="F112">
        <v>590</v>
      </c>
      <c r="G112">
        <v>8.9</v>
      </c>
      <c r="H112" t="s">
        <v>20</v>
      </c>
      <c r="I112" t="s">
        <v>5</v>
      </c>
      <c r="J112">
        <v>24</v>
      </c>
      <c r="K112" t="str">
        <f t="shared" si="3"/>
        <v>High Spender</v>
      </c>
      <c r="L112" t="str">
        <f t="shared" si="4"/>
        <v>Loyal</v>
      </c>
      <c r="M112" t="str">
        <f t="shared" si="5"/>
        <v>High Value | High Spender | Loyal</v>
      </c>
    </row>
    <row r="113" spans="1:13" x14ac:dyDescent="0.35">
      <c r="A113">
        <v>112</v>
      </c>
      <c r="B113">
        <v>26</v>
      </c>
      <c r="C113" t="s">
        <v>14</v>
      </c>
      <c r="D113">
        <v>44000</v>
      </c>
      <c r="E113" t="s">
        <v>15</v>
      </c>
      <c r="F113">
        <v>240</v>
      </c>
      <c r="G113">
        <v>4.3</v>
      </c>
      <c r="H113" t="s">
        <v>16</v>
      </c>
      <c r="I113" t="s">
        <v>3</v>
      </c>
      <c r="J113">
        <v>14</v>
      </c>
      <c r="K113" t="str">
        <f t="shared" si="3"/>
        <v>Low Spender</v>
      </c>
      <c r="L113" t="str">
        <f t="shared" si="4"/>
        <v>At Risk</v>
      </c>
      <c r="M113" t="str">
        <f t="shared" si="5"/>
        <v>Low Value | Low Spender | At Risk</v>
      </c>
    </row>
    <row r="114" spans="1:13" x14ac:dyDescent="0.35">
      <c r="A114">
        <v>113</v>
      </c>
      <c r="B114">
        <v>45</v>
      </c>
      <c r="C114" t="s">
        <v>18</v>
      </c>
      <c r="D114">
        <v>65000</v>
      </c>
      <c r="E114" t="s">
        <v>19</v>
      </c>
      <c r="F114">
        <v>500</v>
      </c>
      <c r="G114">
        <v>8</v>
      </c>
      <c r="H114" t="s">
        <v>20</v>
      </c>
      <c r="I114" t="s">
        <v>4</v>
      </c>
      <c r="J114">
        <v>22</v>
      </c>
      <c r="K114" t="str">
        <f t="shared" si="3"/>
        <v>High Spender</v>
      </c>
      <c r="L114" t="str">
        <f t="shared" si="4"/>
        <v>Loyal</v>
      </c>
      <c r="M114" t="str">
        <f t="shared" si="5"/>
        <v>High Value | High Spender | Loyal</v>
      </c>
    </row>
    <row r="115" spans="1:13" x14ac:dyDescent="0.35">
      <c r="A115">
        <v>114</v>
      </c>
      <c r="B115">
        <v>40</v>
      </c>
      <c r="C115" t="s">
        <v>23</v>
      </c>
      <c r="D115">
        <v>60000</v>
      </c>
      <c r="E115" t="s">
        <v>19</v>
      </c>
      <c r="F115">
        <v>450</v>
      </c>
      <c r="G115">
        <v>7.2</v>
      </c>
      <c r="H115" t="s">
        <v>17</v>
      </c>
      <c r="I115" t="s">
        <v>5</v>
      </c>
      <c r="J115">
        <v>20</v>
      </c>
      <c r="K115" t="str">
        <f t="shared" si="3"/>
        <v>High Spender</v>
      </c>
      <c r="L115" t="str">
        <f t="shared" si="4"/>
        <v>Regular</v>
      </c>
      <c r="M115" t="str">
        <f t="shared" si="5"/>
        <v>Medium Value | High Spender | Regular</v>
      </c>
    </row>
    <row r="116" spans="1:13" x14ac:dyDescent="0.35">
      <c r="A116">
        <v>115</v>
      </c>
      <c r="B116">
        <v>38</v>
      </c>
      <c r="C116" t="s">
        <v>23</v>
      </c>
      <c r="D116">
        <v>59000</v>
      </c>
      <c r="E116" t="s">
        <v>15</v>
      </c>
      <c r="F116">
        <v>430</v>
      </c>
      <c r="G116">
        <v>6.9</v>
      </c>
      <c r="H116" t="s">
        <v>17</v>
      </c>
      <c r="I116" t="s">
        <v>3</v>
      </c>
      <c r="J116">
        <v>20</v>
      </c>
      <c r="K116" t="str">
        <f t="shared" si="3"/>
        <v>High Spender</v>
      </c>
      <c r="L116" t="str">
        <f t="shared" si="4"/>
        <v>Regular</v>
      </c>
      <c r="M116" t="str">
        <f t="shared" si="5"/>
        <v>Medium Value | High Spender | Regular</v>
      </c>
    </row>
    <row r="117" spans="1:13" x14ac:dyDescent="0.35">
      <c r="A117">
        <v>116</v>
      </c>
      <c r="B117">
        <v>54</v>
      </c>
      <c r="C117" t="s">
        <v>18</v>
      </c>
      <c r="D117">
        <v>74000</v>
      </c>
      <c r="E117" t="s">
        <v>19</v>
      </c>
      <c r="F117">
        <v>630</v>
      </c>
      <c r="G117">
        <v>9.4</v>
      </c>
      <c r="H117" t="s">
        <v>20</v>
      </c>
      <c r="I117" t="s">
        <v>4</v>
      </c>
      <c r="J117">
        <v>27</v>
      </c>
      <c r="K117" t="str">
        <f t="shared" si="3"/>
        <v>High Spender</v>
      </c>
      <c r="L117" t="str">
        <f t="shared" si="4"/>
        <v>Loyal</v>
      </c>
      <c r="M117" t="str">
        <f t="shared" si="5"/>
        <v>High Value | High Spender | Loyal</v>
      </c>
    </row>
    <row r="118" spans="1:13" x14ac:dyDescent="0.35">
      <c r="A118">
        <v>117</v>
      </c>
      <c r="B118">
        <v>32</v>
      </c>
      <c r="C118" t="s">
        <v>14</v>
      </c>
      <c r="D118">
        <v>52000</v>
      </c>
      <c r="E118" t="s">
        <v>15</v>
      </c>
      <c r="F118">
        <v>360</v>
      </c>
      <c r="G118">
        <v>5.8</v>
      </c>
      <c r="H118" t="s">
        <v>17</v>
      </c>
      <c r="I118" t="s">
        <v>5</v>
      </c>
      <c r="J118">
        <v>18</v>
      </c>
      <c r="K118" t="str">
        <f t="shared" si="3"/>
        <v>Medium Spender</v>
      </c>
      <c r="L118" t="str">
        <f t="shared" si="4"/>
        <v>Regular</v>
      </c>
      <c r="M118" t="str">
        <f t="shared" si="5"/>
        <v>Medium Value | Medium Spender | Regular</v>
      </c>
    </row>
    <row r="119" spans="1:13" x14ac:dyDescent="0.35">
      <c r="A119">
        <v>118</v>
      </c>
      <c r="B119">
        <v>31</v>
      </c>
      <c r="C119" t="s">
        <v>14</v>
      </c>
      <c r="D119">
        <v>51000</v>
      </c>
      <c r="E119" t="s">
        <v>15</v>
      </c>
      <c r="F119">
        <v>340</v>
      </c>
      <c r="G119">
        <v>5.6</v>
      </c>
      <c r="H119" t="s">
        <v>17</v>
      </c>
      <c r="I119" t="s">
        <v>3</v>
      </c>
      <c r="J119">
        <v>17</v>
      </c>
      <c r="K119" t="str">
        <f t="shared" si="3"/>
        <v>Medium Spender</v>
      </c>
      <c r="L119" t="str">
        <f t="shared" si="4"/>
        <v>Regular</v>
      </c>
      <c r="M119" t="str">
        <f t="shared" si="5"/>
        <v>Medium Value | Medium Spender | Regular</v>
      </c>
    </row>
    <row r="120" spans="1:13" x14ac:dyDescent="0.35">
      <c r="A120">
        <v>119</v>
      </c>
      <c r="B120">
        <v>42</v>
      </c>
      <c r="C120" t="s">
        <v>23</v>
      </c>
      <c r="D120">
        <v>62000</v>
      </c>
      <c r="E120" t="s">
        <v>19</v>
      </c>
      <c r="F120">
        <v>520</v>
      </c>
      <c r="G120">
        <v>8.1999999999999993</v>
      </c>
      <c r="H120" t="s">
        <v>20</v>
      </c>
      <c r="I120" t="s">
        <v>4</v>
      </c>
      <c r="J120">
        <v>23</v>
      </c>
      <c r="K120" t="str">
        <f t="shared" si="3"/>
        <v>High Spender</v>
      </c>
      <c r="L120" t="str">
        <f t="shared" si="4"/>
        <v>Loyal</v>
      </c>
      <c r="M120" t="str">
        <f t="shared" si="5"/>
        <v>High Value | High Spender | Loyal</v>
      </c>
    </row>
    <row r="121" spans="1:13" x14ac:dyDescent="0.35">
      <c r="A121">
        <v>120</v>
      </c>
      <c r="B121">
        <v>55</v>
      </c>
      <c r="C121" t="s">
        <v>18</v>
      </c>
      <c r="D121">
        <v>75000</v>
      </c>
      <c r="E121" t="s">
        <v>19</v>
      </c>
      <c r="F121">
        <v>640</v>
      </c>
      <c r="G121">
        <v>9.5</v>
      </c>
      <c r="H121" t="s">
        <v>20</v>
      </c>
      <c r="I121" t="s">
        <v>5</v>
      </c>
      <c r="J121">
        <v>28</v>
      </c>
      <c r="K121" t="str">
        <f t="shared" si="3"/>
        <v>High Spender</v>
      </c>
      <c r="L121" t="str">
        <f t="shared" si="4"/>
        <v>Loyal</v>
      </c>
      <c r="M121" t="str">
        <f t="shared" si="5"/>
        <v>High Value | High Spender | Loyal</v>
      </c>
    </row>
    <row r="122" spans="1:13" x14ac:dyDescent="0.35">
      <c r="A122">
        <v>121</v>
      </c>
      <c r="B122">
        <v>29</v>
      </c>
      <c r="C122" t="s">
        <v>14</v>
      </c>
      <c r="D122">
        <v>46000</v>
      </c>
      <c r="E122" t="s">
        <v>15</v>
      </c>
      <c r="F122">
        <v>270</v>
      </c>
      <c r="G122">
        <v>4.3</v>
      </c>
      <c r="H122" t="s">
        <v>16</v>
      </c>
      <c r="I122" t="s">
        <v>3</v>
      </c>
      <c r="J122">
        <v>15</v>
      </c>
      <c r="K122" t="str">
        <f t="shared" si="3"/>
        <v>Medium Spender</v>
      </c>
      <c r="L122" t="str">
        <f t="shared" si="4"/>
        <v>At Risk</v>
      </c>
      <c r="M122" t="str">
        <f t="shared" si="5"/>
        <v>Low Value | Medium Spender | At Risk</v>
      </c>
    </row>
    <row r="123" spans="1:13" x14ac:dyDescent="0.35">
      <c r="A123">
        <v>122</v>
      </c>
      <c r="B123">
        <v>33</v>
      </c>
      <c r="C123" t="s">
        <v>14</v>
      </c>
      <c r="D123">
        <v>53000</v>
      </c>
      <c r="E123" t="s">
        <v>15</v>
      </c>
      <c r="F123">
        <v>380</v>
      </c>
      <c r="G123">
        <v>6</v>
      </c>
      <c r="H123" t="s">
        <v>17</v>
      </c>
      <c r="I123" t="s">
        <v>4</v>
      </c>
      <c r="J123">
        <v>18</v>
      </c>
      <c r="K123" t="str">
        <f t="shared" si="3"/>
        <v>Medium Spender</v>
      </c>
      <c r="L123" t="str">
        <f t="shared" si="4"/>
        <v>Regular</v>
      </c>
      <c r="M123" t="str">
        <f t="shared" si="5"/>
        <v>Medium Value | Medium Spender | Regular</v>
      </c>
    </row>
    <row r="124" spans="1:13" x14ac:dyDescent="0.35">
      <c r="A124">
        <v>123</v>
      </c>
      <c r="B124">
        <v>51</v>
      </c>
      <c r="C124" t="s">
        <v>18</v>
      </c>
      <c r="D124">
        <v>71000</v>
      </c>
      <c r="E124" t="s">
        <v>19</v>
      </c>
      <c r="F124">
        <v>600</v>
      </c>
      <c r="G124">
        <v>9</v>
      </c>
      <c r="H124" t="s">
        <v>20</v>
      </c>
      <c r="I124" t="s">
        <v>5</v>
      </c>
      <c r="J124">
        <v>25</v>
      </c>
      <c r="K124" t="str">
        <f t="shared" si="3"/>
        <v>High Spender</v>
      </c>
      <c r="L124" t="str">
        <f t="shared" si="4"/>
        <v>Loyal</v>
      </c>
      <c r="M124" t="str">
        <f t="shared" si="5"/>
        <v>High Value | High Spender | Loyal</v>
      </c>
    </row>
    <row r="125" spans="1:13" x14ac:dyDescent="0.35">
      <c r="A125">
        <v>124</v>
      </c>
      <c r="B125">
        <v>27</v>
      </c>
      <c r="C125" t="s">
        <v>14</v>
      </c>
      <c r="D125">
        <v>43000</v>
      </c>
      <c r="E125" t="s">
        <v>15</v>
      </c>
      <c r="F125">
        <v>230</v>
      </c>
      <c r="G125">
        <v>4</v>
      </c>
      <c r="H125" t="s">
        <v>16</v>
      </c>
      <c r="I125" t="s">
        <v>3</v>
      </c>
      <c r="J125">
        <v>14</v>
      </c>
      <c r="K125" t="str">
        <f t="shared" si="3"/>
        <v>Low Spender</v>
      </c>
      <c r="L125" t="str">
        <f t="shared" si="4"/>
        <v>At Risk</v>
      </c>
      <c r="M125" t="str">
        <f t="shared" si="5"/>
        <v>Low Value | Low Spender | At Risk</v>
      </c>
    </row>
    <row r="126" spans="1:13" x14ac:dyDescent="0.35">
      <c r="A126">
        <v>125</v>
      </c>
      <c r="B126">
        <v>43</v>
      </c>
      <c r="C126" t="s">
        <v>23</v>
      </c>
      <c r="D126">
        <v>63000</v>
      </c>
      <c r="E126" t="s">
        <v>19</v>
      </c>
      <c r="F126">
        <v>470</v>
      </c>
      <c r="G126">
        <v>7.8</v>
      </c>
      <c r="H126" t="s">
        <v>17</v>
      </c>
      <c r="I126" t="s">
        <v>4</v>
      </c>
      <c r="J126">
        <v>21</v>
      </c>
      <c r="K126" t="str">
        <f t="shared" si="3"/>
        <v>High Spender</v>
      </c>
      <c r="L126" t="str">
        <f t="shared" si="4"/>
        <v>Regular</v>
      </c>
      <c r="M126" t="str">
        <f t="shared" si="5"/>
        <v>Medium Value | High Spender | Regular</v>
      </c>
    </row>
    <row r="127" spans="1:13" x14ac:dyDescent="0.35">
      <c r="A127">
        <v>126</v>
      </c>
      <c r="B127">
        <v>41</v>
      </c>
      <c r="C127" t="s">
        <v>23</v>
      </c>
      <c r="D127">
        <v>61000</v>
      </c>
      <c r="E127" t="s">
        <v>19</v>
      </c>
      <c r="F127">
        <v>480</v>
      </c>
      <c r="G127">
        <v>7.7</v>
      </c>
      <c r="H127" t="s">
        <v>17</v>
      </c>
      <c r="I127" t="s">
        <v>5</v>
      </c>
      <c r="J127">
        <v>22</v>
      </c>
      <c r="K127" t="str">
        <f t="shared" si="3"/>
        <v>High Spender</v>
      </c>
      <c r="L127" t="str">
        <f t="shared" si="4"/>
        <v>Regular</v>
      </c>
      <c r="M127" t="str">
        <f t="shared" si="5"/>
        <v>Medium Value | High Spender | Regular</v>
      </c>
    </row>
    <row r="128" spans="1:13" x14ac:dyDescent="0.35">
      <c r="A128">
        <v>127</v>
      </c>
      <c r="B128">
        <v>50</v>
      </c>
      <c r="C128" t="s">
        <v>18</v>
      </c>
      <c r="D128">
        <v>70000</v>
      </c>
      <c r="E128" t="s">
        <v>19</v>
      </c>
      <c r="F128">
        <v>600</v>
      </c>
      <c r="G128">
        <v>9</v>
      </c>
      <c r="H128" t="s">
        <v>20</v>
      </c>
      <c r="I128" t="s">
        <v>3</v>
      </c>
      <c r="J128">
        <v>25</v>
      </c>
      <c r="K128" t="str">
        <f t="shared" si="3"/>
        <v>High Spender</v>
      </c>
      <c r="L128" t="str">
        <f t="shared" si="4"/>
        <v>Loyal</v>
      </c>
      <c r="M128" t="str">
        <f t="shared" si="5"/>
        <v>High Value | High Spender | Loyal</v>
      </c>
    </row>
    <row r="129" spans="1:13" x14ac:dyDescent="0.35">
      <c r="A129">
        <v>128</v>
      </c>
      <c r="B129">
        <v>24</v>
      </c>
      <c r="C129" t="s">
        <v>21</v>
      </c>
      <c r="D129">
        <v>32000</v>
      </c>
      <c r="E129" t="s">
        <v>22</v>
      </c>
      <c r="F129">
        <v>170</v>
      </c>
      <c r="G129">
        <v>3.3</v>
      </c>
      <c r="H129" t="s">
        <v>16</v>
      </c>
      <c r="I129" t="s">
        <v>4</v>
      </c>
      <c r="J129">
        <v>11</v>
      </c>
      <c r="K129" t="str">
        <f t="shared" si="3"/>
        <v>Low Spender</v>
      </c>
      <c r="L129" t="str">
        <f t="shared" si="4"/>
        <v>At Risk</v>
      </c>
      <c r="M129" t="str">
        <f t="shared" si="5"/>
        <v>Low Value | Low Spender | At Risk</v>
      </c>
    </row>
    <row r="130" spans="1:13" x14ac:dyDescent="0.35">
      <c r="A130">
        <v>129</v>
      </c>
      <c r="B130">
        <v>48</v>
      </c>
      <c r="C130" t="s">
        <v>18</v>
      </c>
      <c r="D130">
        <v>68000</v>
      </c>
      <c r="E130" t="s">
        <v>19</v>
      </c>
      <c r="F130">
        <v>550</v>
      </c>
      <c r="G130">
        <v>8.5</v>
      </c>
      <c r="H130" t="s">
        <v>20</v>
      </c>
      <c r="I130" t="s">
        <v>5</v>
      </c>
      <c r="J130">
        <v>24</v>
      </c>
      <c r="K130" t="str">
        <f t="shared" si="3"/>
        <v>High Spender</v>
      </c>
      <c r="L130" t="str">
        <f t="shared" si="4"/>
        <v>Loyal</v>
      </c>
      <c r="M130" t="str">
        <f t="shared" si="5"/>
        <v>High Value | High Spender | Loyal</v>
      </c>
    </row>
    <row r="131" spans="1:13" x14ac:dyDescent="0.35">
      <c r="A131">
        <v>130</v>
      </c>
      <c r="B131">
        <v>30</v>
      </c>
      <c r="C131" t="s">
        <v>14</v>
      </c>
      <c r="D131">
        <v>49000</v>
      </c>
      <c r="E131" t="s">
        <v>15</v>
      </c>
      <c r="F131">
        <v>300</v>
      </c>
      <c r="G131">
        <v>5</v>
      </c>
      <c r="H131" t="s">
        <v>17</v>
      </c>
      <c r="I131" t="s">
        <v>3</v>
      </c>
      <c r="J131">
        <v>16</v>
      </c>
      <c r="K131" t="str">
        <f t="shared" ref="K131:K194" si="6">IF(F131&gt;=400,"High Spender",IF(F131&gt;=250,"Medium Spender","Low Spender"))</f>
        <v>Medium Spender</v>
      </c>
      <c r="L131" t="str">
        <f t="shared" ref="L131:L194" si="7">IF(OR(G131&lt;5,J131&lt;10),"At Risk",IF(G131&gt;=8,"Loyal","Regular"))</f>
        <v>Regular</v>
      </c>
      <c r="M131" t="str">
        <f t="shared" ref="M131:M194" si="8">H131 &amp; " | " &amp; K131 &amp; " | " &amp; L131</f>
        <v>Medium Value | Medium Spender | Regular</v>
      </c>
    </row>
    <row r="132" spans="1:13" x14ac:dyDescent="0.35">
      <c r="A132">
        <v>131</v>
      </c>
      <c r="B132">
        <v>39</v>
      </c>
      <c r="C132" t="s">
        <v>23</v>
      </c>
      <c r="D132">
        <v>57000</v>
      </c>
      <c r="E132" t="s">
        <v>15</v>
      </c>
      <c r="F132">
        <v>440</v>
      </c>
      <c r="G132">
        <v>7</v>
      </c>
      <c r="H132" t="s">
        <v>17</v>
      </c>
      <c r="I132" t="s">
        <v>4</v>
      </c>
      <c r="J132">
        <v>21</v>
      </c>
      <c r="K132" t="str">
        <f t="shared" si="6"/>
        <v>High Spender</v>
      </c>
      <c r="L132" t="str">
        <f t="shared" si="7"/>
        <v>Regular</v>
      </c>
      <c r="M132" t="str">
        <f t="shared" si="8"/>
        <v>Medium Value | High Spender | Regular</v>
      </c>
    </row>
    <row r="133" spans="1:13" x14ac:dyDescent="0.35">
      <c r="A133">
        <v>132</v>
      </c>
      <c r="B133">
        <v>37</v>
      </c>
      <c r="C133" t="s">
        <v>23</v>
      </c>
      <c r="D133">
        <v>58000</v>
      </c>
      <c r="E133" t="s">
        <v>15</v>
      </c>
      <c r="F133">
        <v>420</v>
      </c>
      <c r="G133">
        <v>6.8</v>
      </c>
      <c r="H133" t="s">
        <v>17</v>
      </c>
      <c r="I133" t="s">
        <v>5</v>
      </c>
      <c r="J133">
        <v>20</v>
      </c>
      <c r="K133" t="str">
        <f t="shared" si="6"/>
        <v>High Spender</v>
      </c>
      <c r="L133" t="str">
        <f t="shared" si="7"/>
        <v>Regular</v>
      </c>
      <c r="M133" t="str">
        <f t="shared" si="8"/>
        <v>Medium Value | High Spender | Regular</v>
      </c>
    </row>
    <row r="134" spans="1:13" x14ac:dyDescent="0.35">
      <c r="A134">
        <v>133</v>
      </c>
      <c r="B134">
        <v>46</v>
      </c>
      <c r="C134" t="s">
        <v>18</v>
      </c>
      <c r="D134">
        <v>66000</v>
      </c>
      <c r="E134" t="s">
        <v>19</v>
      </c>
      <c r="F134">
        <v>510</v>
      </c>
      <c r="G134">
        <v>8.1</v>
      </c>
      <c r="H134" t="s">
        <v>20</v>
      </c>
      <c r="I134" t="s">
        <v>3</v>
      </c>
      <c r="J134">
        <v>22</v>
      </c>
      <c r="K134" t="str">
        <f t="shared" si="6"/>
        <v>High Spender</v>
      </c>
      <c r="L134" t="str">
        <f t="shared" si="7"/>
        <v>Loyal</v>
      </c>
      <c r="M134" t="str">
        <f t="shared" si="8"/>
        <v>High Value | High Spender | Loyal</v>
      </c>
    </row>
    <row r="135" spans="1:13" x14ac:dyDescent="0.35">
      <c r="A135">
        <v>134</v>
      </c>
      <c r="B135">
        <v>33</v>
      </c>
      <c r="C135" t="s">
        <v>14</v>
      </c>
      <c r="D135">
        <v>53000</v>
      </c>
      <c r="E135" t="s">
        <v>15</v>
      </c>
      <c r="F135">
        <v>380</v>
      </c>
      <c r="G135">
        <v>6</v>
      </c>
      <c r="H135" t="s">
        <v>17</v>
      </c>
      <c r="I135" t="s">
        <v>4</v>
      </c>
      <c r="J135">
        <v>18</v>
      </c>
      <c r="K135" t="str">
        <f t="shared" si="6"/>
        <v>Medium Spender</v>
      </c>
      <c r="L135" t="str">
        <f t="shared" si="7"/>
        <v>Regular</v>
      </c>
      <c r="M135" t="str">
        <f t="shared" si="8"/>
        <v>Medium Value | Medium Spender | Regular</v>
      </c>
    </row>
    <row r="136" spans="1:13" x14ac:dyDescent="0.35">
      <c r="A136">
        <v>135</v>
      </c>
      <c r="B136">
        <v>52</v>
      </c>
      <c r="C136" t="s">
        <v>18</v>
      </c>
      <c r="D136">
        <v>72000</v>
      </c>
      <c r="E136" t="s">
        <v>19</v>
      </c>
      <c r="F136">
        <v>610</v>
      </c>
      <c r="G136">
        <v>9.1999999999999993</v>
      </c>
      <c r="H136" t="s">
        <v>20</v>
      </c>
      <c r="I136" t="s">
        <v>5</v>
      </c>
      <c r="J136">
        <v>26</v>
      </c>
      <c r="K136" t="str">
        <f t="shared" si="6"/>
        <v>High Spender</v>
      </c>
      <c r="L136" t="str">
        <f t="shared" si="7"/>
        <v>Loyal</v>
      </c>
      <c r="M136" t="str">
        <f t="shared" si="8"/>
        <v>High Value | High Spender | Loyal</v>
      </c>
    </row>
    <row r="137" spans="1:13" x14ac:dyDescent="0.35">
      <c r="A137">
        <v>136</v>
      </c>
      <c r="B137">
        <v>28</v>
      </c>
      <c r="C137" t="s">
        <v>14</v>
      </c>
      <c r="D137">
        <v>46000</v>
      </c>
      <c r="E137" t="s">
        <v>15</v>
      </c>
      <c r="F137">
        <v>250</v>
      </c>
      <c r="G137">
        <v>4.2</v>
      </c>
      <c r="H137" t="s">
        <v>16</v>
      </c>
      <c r="I137" t="s">
        <v>3</v>
      </c>
      <c r="J137">
        <v>14</v>
      </c>
      <c r="K137" t="str">
        <f t="shared" si="6"/>
        <v>Medium Spender</v>
      </c>
      <c r="L137" t="str">
        <f t="shared" si="7"/>
        <v>At Risk</v>
      </c>
      <c r="M137" t="str">
        <f t="shared" si="8"/>
        <v>Low Value | Medium Spender | At Risk</v>
      </c>
    </row>
    <row r="138" spans="1:13" x14ac:dyDescent="0.35">
      <c r="A138">
        <v>137</v>
      </c>
      <c r="B138">
        <v>41</v>
      </c>
      <c r="C138" t="s">
        <v>23</v>
      </c>
      <c r="D138">
        <v>61000</v>
      </c>
      <c r="E138" t="s">
        <v>19</v>
      </c>
      <c r="F138">
        <v>480</v>
      </c>
      <c r="G138">
        <v>7.8</v>
      </c>
      <c r="H138" t="s">
        <v>17</v>
      </c>
      <c r="I138" t="s">
        <v>4</v>
      </c>
      <c r="J138">
        <v>21</v>
      </c>
      <c r="K138" t="str">
        <f t="shared" si="6"/>
        <v>High Spender</v>
      </c>
      <c r="L138" t="str">
        <f t="shared" si="7"/>
        <v>Regular</v>
      </c>
      <c r="M138" t="str">
        <f t="shared" si="8"/>
        <v>Medium Value | High Spender | Regular</v>
      </c>
    </row>
    <row r="139" spans="1:13" x14ac:dyDescent="0.35">
      <c r="A139">
        <v>138</v>
      </c>
      <c r="B139">
        <v>50</v>
      </c>
      <c r="C139" t="s">
        <v>18</v>
      </c>
      <c r="D139">
        <v>70000</v>
      </c>
      <c r="E139" t="s">
        <v>19</v>
      </c>
      <c r="F139">
        <v>600</v>
      </c>
      <c r="G139">
        <v>9</v>
      </c>
      <c r="H139" t="s">
        <v>20</v>
      </c>
      <c r="I139" t="s">
        <v>5</v>
      </c>
      <c r="J139">
        <v>25</v>
      </c>
      <c r="K139" t="str">
        <f t="shared" si="6"/>
        <v>High Spender</v>
      </c>
      <c r="L139" t="str">
        <f t="shared" si="7"/>
        <v>Loyal</v>
      </c>
      <c r="M139" t="str">
        <f t="shared" si="8"/>
        <v>High Value | High Spender | Loyal</v>
      </c>
    </row>
    <row r="140" spans="1:13" x14ac:dyDescent="0.35">
      <c r="A140">
        <v>139</v>
      </c>
      <c r="B140">
        <v>36</v>
      </c>
      <c r="C140" t="s">
        <v>23</v>
      </c>
      <c r="D140">
        <v>54000</v>
      </c>
      <c r="E140" t="s">
        <v>15</v>
      </c>
      <c r="F140">
        <v>400</v>
      </c>
      <c r="G140">
        <v>6.5</v>
      </c>
      <c r="H140" t="s">
        <v>17</v>
      </c>
      <c r="I140" t="s">
        <v>3</v>
      </c>
      <c r="J140">
        <v>19</v>
      </c>
      <c r="K140" t="str">
        <f t="shared" si="6"/>
        <v>High Spender</v>
      </c>
      <c r="L140" t="str">
        <f t="shared" si="7"/>
        <v>Regular</v>
      </c>
      <c r="M140" t="str">
        <f t="shared" si="8"/>
        <v>Medium Value | High Spender | Regular</v>
      </c>
    </row>
    <row r="141" spans="1:13" x14ac:dyDescent="0.35">
      <c r="A141">
        <v>140</v>
      </c>
      <c r="B141">
        <v>24</v>
      </c>
      <c r="C141" t="s">
        <v>21</v>
      </c>
      <c r="D141">
        <v>32000</v>
      </c>
      <c r="E141" t="s">
        <v>22</v>
      </c>
      <c r="F141">
        <v>170</v>
      </c>
      <c r="G141">
        <v>3.3</v>
      </c>
      <c r="H141" t="s">
        <v>16</v>
      </c>
      <c r="I141" t="s">
        <v>4</v>
      </c>
      <c r="J141">
        <v>11</v>
      </c>
      <c r="K141" t="str">
        <f t="shared" si="6"/>
        <v>Low Spender</v>
      </c>
      <c r="L141" t="str">
        <f t="shared" si="7"/>
        <v>At Risk</v>
      </c>
      <c r="M141" t="str">
        <f t="shared" si="8"/>
        <v>Low Value | Low Spender | At Risk</v>
      </c>
    </row>
    <row r="142" spans="1:13" x14ac:dyDescent="0.35">
      <c r="A142">
        <v>141</v>
      </c>
      <c r="B142">
        <v>49</v>
      </c>
      <c r="C142" t="s">
        <v>18</v>
      </c>
      <c r="D142">
        <v>69000</v>
      </c>
      <c r="E142" t="s">
        <v>19</v>
      </c>
      <c r="F142">
        <v>590</v>
      </c>
      <c r="G142">
        <v>8.9</v>
      </c>
      <c r="H142" t="s">
        <v>20</v>
      </c>
      <c r="I142" t="s">
        <v>5</v>
      </c>
      <c r="J142">
        <v>24</v>
      </c>
      <c r="K142" t="str">
        <f t="shared" si="6"/>
        <v>High Spender</v>
      </c>
      <c r="L142" t="str">
        <f t="shared" si="7"/>
        <v>Loyal</v>
      </c>
      <c r="M142" t="str">
        <f t="shared" si="8"/>
        <v>High Value | High Spender | Loyal</v>
      </c>
    </row>
    <row r="143" spans="1:13" x14ac:dyDescent="0.35">
      <c r="A143">
        <v>142</v>
      </c>
      <c r="B143">
        <v>26</v>
      </c>
      <c r="C143" t="s">
        <v>14</v>
      </c>
      <c r="D143">
        <v>44000</v>
      </c>
      <c r="E143" t="s">
        <v>15</v>
      </c>
      <c r="F143">
        <v>240</v>
      </c>
      <c r="G143">
        <v>4.3</v>
      </c>
      <c r="H143" t="s">
        <v>16</v>
      </c>
      <c r="I143" t="s">
        <v>3</v>
      </c>
      <c r="J143">
        <v>14</v>
      </c>
      <c r="K143" t="str">
        <f t="shared" si="6"/>
        <v>Low Spender</v>
      </c>
      <c r="L143" t="str">
        <f t="shared" si="7"/>
        <v>At Risk</v>
      </c>
      <c r="M143" t="str">
        <f t="shared" si="8"/>
        <v>Low Value | Low Spender | At Risk</v>
      </c>
    </row>
    <row r="144" spans="1:13" x14ac:dyDescent="0.35">
      <c r="A144">
        <v>143</v>
      </c>
      <c r="B144">
        <v>45</v>
      </c>
      <c r="C144" t="s">
        <v>18</v>
      </c>
      <c r="D144">
        <v>65000</v>
      </c>
      <c r="E144" t="s">
        <v>19</v>
      </c>
      <c r="F144">
        <v>500</v>
      </c>
      <c r="G144">
        <v>8</v>
      </c>
      <c r="H144" t="s">
        <v>20</v>
      </c>
      <c r="I144" t="s">
        <v>4</v>
      </c>
      <c r="J144">
        <v>22</v>
      </c>
      <c r="K144" t="str">
        <f t="shared" si="6"/>
        <v>High Spender</v>
      </c>
      <c r="L144" t="str">
        <f t="shared" si="7"/>
        <v>Loyal</v>
      </c>
      <c r="M144" t="str">
        <f t="shared" si="8"/>
        <v>High Value | High Spender | Loyal</v>
      </c>
    </row>
    <row r="145" spans="1:13" x14ac:dyDescent="0.35">
      <c r="A145">
        <v>144</v>
      </c>
      <c r="B145">
        <v>40</v>
      </c>
      <c r="C145" t="s">
        <v>23</v>
      </c>
      <c r="D145">
        <v>60000</v>
      </c>
      <c r="E145" t="s">
        <v>19</v>
      </c>
      <c r="F145">
        <v>450</v>
      </c>
      <c r="G145">
        <v>7.2</v>
      </c>
      <c r="H145" t="s">
        <v>17</v>
      </c>
      <c r="I145" t="s">
        <v>5</v>
      </c>
      <c r="J145">
        <v>20</v>
      </c>
      <c r="K145" t="str">
        <f t="shared" si="6"/>
        <v>High Spender</v>
      </c>
      <c r="L145" t="str">
        <f t="shared" si="7"/>
        <v>Regular</v>
      </c>
      <c r="M145" t="str">
        <f t="shared" si="8"/>
        <v>Medium Value | High Spender | Regular</v>
      </c>
    </row>
    <row r="146" spans="1:13" x14ac:dyDescent="0.35">
      <c r="A146">
        <v>145</v>
      </c>
      <c r="B146">
        <v>38</v>
      </c>
      <c r="C146" t="s">
        <v>23</v>
      </c>
      <c r="D146">
        <v>59000</v>
      </c>
      <c r="E146" t="s">
        <v>15</v>
      </c>
      <c r="F146">
        <v>430</v>
      </c>
      <c r="G146">
        <v>6.9</v>
      </c>
      <c r="H146" t="s">
        <v>17</v>
      </c>
      <c r="I146" t="s">
        <v>3</v>
      </c>
      <c r="J146">
        <v>20</v>
      </c>
      <c r="K146" t="str">
        <f t="shared" si="6"/>
        <v>High Spender</v>
      </c>
      <c r="L146" t="str">
        <f t="shared" si="7"/>
        <v>Regular</v>
      </c>
      <c r="M146" t="str">
        <f t="shared" si="8"/>
        <v>Medium Value | High Spender | Regular</v>
      </c>
    </row>
    <row r="147" spans="1:13" x14ac:dyDescent="0.35">
      <c r="A147">
        <v>146</v>
      </c>
      <c r="B147">
        <v>54</v>
      </c>
      <c r="C147" t="s">
        <v>18</v>
      </c>
      <c r="D147">
        <v>74000</v>
      </c>
      <c r="E147" t="s">
        <v>19</v>
      </c>
      <c r="F147">
        <v>630</v>
      </c>
      <c r="G147">
        <v>9.4</v>
      </c>
      <c r="H147" t="s">
        <v>20</v>
      </c>
      <c r="I147" t="s">
        <v>4</v>
      </c>
      <c r="J147">
        <v>27</v>
      </c>
      <c r="K147" t="str">
        <f t="shared" si="6"/>
        <v>High Spender</v>
      </c>
      <c r="L147" t="str">
        <f t="shared" si="7"/>
        <v>Loyal</v>
      </c>
      <c r="M147" t="str">
        <f t="shared" si="8"/>
        <v>High Value | High Spender | Loyal</v>
      </c>
    </row>
    <row r="148" spans="1:13" x14ac:dyDescent="0.35">
      <c r="A148">
        <v>147</v>
      </c>
      <c r="B148">
        <v>32</v>
      </c>
      <c r="C148" t="s">
        <v>14</v>
      </c>
      <c r="D148">
        <v>52000</v>
      </c>
      <c r="E148" t="s">
        <v>15</v>
      </c>
      <c r="F148">
        <v>360</v>
      </c>
      <c r="G148">
        <v>5.8</v>
      </c>
      <c r="H148" t="s">
        <v>17</v>
      </c>
      <c r="I148" t="s">
        <v>5</v>
      </c>
      <c r="J148">
        <v>18</v>
      </c>
      <c r="K148" t="str">
        <f t="shared" si="6"/>
        <v>Medium Spender</v>
      </c>
      <c r="L148" t="str">
        <f t="shared" si="7"/>
        <v>Regular</v>
      </c>
      <c r="M148" t="str">
        <f t="shared" si="8"/>
        <v>Medium Value | Medium Spender | Regular</v>
      </c>
    </row>
    <row r="149" spans="1:13" x14ac:dyDescent="0.35">
      <c r="A149">
        <v>148</v>
      </c>
      <c r="B149">
        <v>31</v>
      </c>
      <c r="C149" t="s">
        <v>14</v>
      </c>
      <c r="D149">
        <v>51000</v>
      </c>
      <c r="E149" t="s">
        <v>15</v>
      </c>
      <c r="F149">
        <v>340</v>
      </c>
      <c r="G149">
        <v>5.6</v>
      </c>
      <c r="H149" t="s">
        <v>17</v>
      </c>
      <c r="I149" t="s">
        <v>3</v>
      </c>
      <c r="J149">
        <v>17</v>
      </c>
      <c r="K149" t="str">
        <f t="shared" si="6"/>
        <v>Medium Spender</v>
      </c>
      <c r="L149" t="str">
        <f t="shared" si="7"/>
        <v>Regular</v>
      </c>
      <c r="M149" t="str">
        <f t="shared" si="8"/>
        <v>Medium Value | Medium Spender | Regular</v>
      </c>
    </row>
    <row r="150" spans="1:13" x14ac:dyDescent="0.35">
      <c r="A150">
        <v>149</v>
      </c>
      <c r="B150">
        <v>42</v>
      </c>
      <c r="C150" t="s">
        <v>23</v>
      </c>
      <c r="D150">
        <v>62000</v>
      </c>
      <c r="E150" t="s">
        <v>19</v>
      </c>
      <c r="F150">
        <v>520</v>
      </c>
      <c r="G150">
        <v>8.1999999999999993</v>
      </c>
      <c r="H150" t="s">
        <v>20</v>
      </c>
      <c r="I150" t="s">
        <v>4</v>
      </c>
      <c r="J150">
        <v>23</v>
      </c>
      <c r="K150" t="str">
        <f t="shared" si="6"/>
        <v>High Spender</v>
      </c>
      <c r="L150" t="str">
        <f t="shared" si="7"/>
        <v>Loyal</v>
      </c>
      <c r="M150" t="str">
        <f t="shared" si="8"/>
        <v>High Value | High Spender | Loyal</v>
      </c>
    </row>
    <row r="151" spans="1:13" x14ac:dyDescent="0.35">
      <c r="A151">
        <v>150</v>
      </c>
      <c r="B151">
        <v>55</v>
      </c>
      <c r="C151" t="s">
        <v>18</v>
      </c>
      <c r="D151">
        <v>75000</v>
      </c>
      <c r="E151" t="s">
        <v>19</v>
      </c>
      <c r="F151">
        <v>640</v>
      </c>
      <c r="G151">
        <v>9.5</v>
      </c>
      <c r="H151" t="s">
        <v>20</v>
      </c>
      <c r="I151" t="s">
        <v>5</v>
      </c>
      <c r="J151">
        <v>28</v>
      </c>
      <c r="K151" t="str">
        <f t="shared" si="6"/>
        <v>High Spender</v>
      </c>
      <c r="L151" t="str">
        <f t="shared" si="7"/>
        <v>Loyal</v>
      </c>
      <c r="M151" t="str">
        <f t="shared" si="8"/>
        <v>High Value | High Spender | Loyal</v>
      </c>
    </row>
    <row r="152" spans="1:13" x14ac:dyDescent="0.35">
      <c r="A152">
        <v>151</v>
      </c>
      <c r="B152">
        <v>29</v>
      </c>
      <c r="C152" t="s">
        <v>14</v>
      </c>
      <c r="D152">
        <v>46000</v>
      </c>
      <c r="E152" t="s">
        <v>15</v>
      </c>
      <c r="F152">
        <v>270</v>
      </c>
      <c r="G152">
        <v>4.3</v>
      </c>
      <c r="H152" t="s">
        <v>16</v>
      </c>
      <c r="I152" t="s">
        <v>3</v>
      </c>
      <c r="J152">
        <v>15</v>
      </c>
      <c r="K152" t="str">
        <f t="shared" si="6"/>
        <v>Medium Spender</v>
      </c>
      <c r="L152" t="str">
        <f t="shared" si="7"/>
        <v>At Risk</v>
      </c>
      <c r="M152" t="str">
        <f t="shared" si="8"/>
        <v>Low Value | Medium Spender | At Risk</v>
      </c>
    </row>
    <row r="153" spans="1:13" x14ac:dyDescent="0.35">
      <c r="A153">
        <v>152</v>
      </c>
      <c r="B153">
        <v>33</v>
      </c>
      <c r="C153" t="s">
        <v>14</v>
      </c>
      <c r="D153">
        <v>53000</v>
      </c>
      <c r="E153" t="s">
        <v>15</v>
      </c>
      <c r="F153">
        <v>380</v>
      </c>
      <c r="G153">
        <v>6</v>
      </c>
      <c r="H153" t="s">
        <v>17</v>
      </c>
      <c r="I153" t="s">
        <v>4</v>
      </c>
      <c r="J153">
        <v>18</v>
      </c>
      <c r="K153" t="str">
        <f t="shared" si="6"/>
        <v>Medium Spender</v>
      </c>
      <c r="L153" t="str">
        <f t="shared" si="7"/>
        <v>Regular</v>
      </c>
      <c r="M153" t="str">
        <f t="shared" si="8"/>
        <v>Medium Value | Medium Spender | Regular</v>
      </c>
    </row>
    <row r="154" spans="1:13" x14ac:dyDescent="0.35">
      <c r="A154">
        <v>153</v>
      </c>
      <c r="B154">
        <v>51</v>
      </c>
      <c r="C154" t="s">
        <v>18</v>
      </c>
      <c r="D154">
        <v>71000</v>
      </c>
      <c r="E154" t="s">
        <v>19</v>
      </c>
      <c r="F154">
        <v>600</v>
      </c>
      <c r="G154">
        <v>9</v>
      </c>
      <c r="H154" t="s">
        <v>20</v>
      </c>
      <c r="I154" t="s">
        <v>5</v>
      </c>
      <c r="J154">
        <v>25</v>
      </c>
      <c r="K154" t="str">
        <f t="shared" si="6"/>
        <v>High Spender</v>
      </c>
      <c r="L154" t="str">
        <f t="shared" si="7"/>
        <v>Loyal</v>
      </c>
      <c r="M154" t="str">
        <f t="shared" si="8"/>
        <v>High Value | High Spender | Loyal</v>
      </c>
    </row>
    <row r="155" spans="1:13" x14ac:dyDescent="0.35">
      <c r="A155">
        <v>154</v>
      </c>
      <c r="B155">
        <v>27</v>
      </c>
      <c r="C155" t="s">
        <v>14</v>
      </c>
      <c r="D155">
        <v>43000</v>
      </c>
      <c r="E155" t="s">
        <v>15</v>
      </c>
      <c r="F155">
        <v>230</v>
      </c>
      <c r="G155">
        <v>4</v>
      </c>
      <c r="H155" t="s">
        <v>16</v>
      </c>
      <c r="I155" t="s">
        <v>3</v>
      </c>
      <c r="J155">
        <v>14</v>
      </c>
      <c r="K155" t="str">
        <f t="shared" si="6"/>
        <v>Low Spender</v>
      </c>
      <c r="L155" t="str">
        <f t="shared" si="7"/>
        <v>At Risk</v>
      </c>
      <c r="M155" t="str">
        <f t="shared" si="8"/>
        <v>Low Value | Low Spender | At Risk</v>
      </c>
    </row>
    <row r="156" spans="1:13" x14ac:dyDescent="0.35">
      <c r="A156">
        <v>155</v>
      </c>
      <c r="B156">
        <v>43</v>
      </c>
      <c r="C156" t="s">
        <v>23</v>
      </c>
      <c r="D156">
        <v>63000</v>
      </c>
      <c r="E156" t="s">
        <v>19</v>
      </c>
      <c r="F156">
        <v>470</v>
      </c>
      <c r="G156">
        <v>7.8</v>
      </c>
      <c r="H156" t="s">
        <v>17</v>
      </c>
      <c r="I156" t="s">
        <v>4</v>
      </c>
      <c r="J156">
        <v>21</v>
      </c>
      <c r="K156" t="str">
        <f t="shared" si="6"/>
        <v>High Spender</v>
      </c>
      <c r="L156" t="str">
        <f t="shared" si="7"/>
        <v>Regular</v>
      </c>
      <c r="M156" t="str">
        <f t="shared" si="8"/>
        <v>Medium Value | High Spender | Regular</v>
      </c>
    </row>
    <row r="157" spans="1:13" x14ac:dyDescent="0.35">
      <c r="A157">
        <v>156</v>
      </c>
      <c r="B157">
        <v>41</v>
      </c>
      <c r="C157" t="s">
        <v>23</v>
      </c>
      <c r="D157">
        <v>61000</v>
      </c>
      <c r="E157" t="s">
        <v>19</v>
      </c>
      <c r="F157">
        <v>480</v>
      </c>
      <c r="G157">
        <v>7.7</v>
      </c>
      <c r="H157" t="s">
        <v>17</v>
      </c>
      <c r="I157" t="s">
        <v>5</v>
      </c>
      <c r="J157">
        <v>22</v>
      </c>
      <c r="K157" t="str">
        <f t="shared" si="6"/>
        <v>High Spender</v>
      </c>
      <c r="L157" t="str">
        <f t="shared" si="7"/>
        <v>Regular</v>
      </c>
      <c r="M157" t="str">
        <f t="shared" si="8"/>
        <v>Medium Value | High Spender | Regular</v>
      </c>
    </row>
    <row r="158" spans="1:13" x14ac:dyDescent="0.35">
      <c r="A158">
        <v>157</v>
      </c>
      <c r="B158">
        <v>50</v>
      </c>
      <c r="C158" t="s">
        <v>18</v>
      </c>
      <c r="D158">
        <v>70000</v>
      </c>
      <c r="E158" t="s">
        <v>19</v>
      </c>
      <c r="F158">
        <v>600</v>
      </c>
      <c r="G158">
        <v>9</v>
      </c>
      <c r="H158" t="s">
        <v>20</v>
      </c>
      <c r="I158" t="s">
        <v>3</v>
      </c>
      <c r="J158">
        <v>25</v>
      </c>
      <c r="K158" t="str">
        <f t="shared" si="6"/>
        <v>High Spender</v>
      </c>
      <c r="L158" t="str">
        <f t="shared" si="7"/>
        <v>Loyal</v>
      </c>
      <c r="M158" t="str">
        <f t="shared" si="8"/>
        <v>High Value | High Spender | Loyal</v>
      </c>
    </row>
    <row r="159" spans="1:13" x14ac:dyDescent="0.35">
      <c r="A159">
        <v>158</v>
      </c>
      <c r="B159">
        <v>24</v>
      </c>
      <c r="C159" t="s">
        <v>21</v>
      </c>
      <c r="D159">
        <v>32000</v>
      </c>
      <c r="E159" t="s">
        <v>22</v>
      </c>
      <c r="F159">
        <v>170</v>
      </c>
      <c r="G159">
        <v>3.3</v>
      </c>
      <c r="H159" t="s">
        <v>16</v>
      </c>
      <c r="I159" t="s">
        <v>4</v>
      </c>
      <c r="J159">
        <v>11</v>
      </c>
      <c r="K159" t="str">
        <f t="shared" si="6"/>
        <v>Low Spender</v>
      </c>
      <c r="L159" t="str">
        <f t="shared" si="7"/>
        <v>At Risk</v>
      </c>
      <c r="M159" t="str">
        <f t="shared" si="8"/>
        <v>Low Value | Low Spender | At Risk</v>
      </c>
    </row>
    <row r="160" spans="1:13" x14ac:dyDescent="0.35">
      <c r="A160">
        <v>159</v>
      </c>
      <c r="B160">
        <v>48</v>
      </c>
      <c r="C160" t="s">
        <v>18</v>
      </c>
      <c r="D160">
        <v>68000</v>
      </c>
      <c r="E160" t="s">
        <v>19</v>
      </c>
      <c r="F160">
        <v>550</v>
      </c>
      <c r="G160">
        <v>8.5</v>
      </c>
      <c r="H160" t="s">
        <v>20</v>
      </c>
      <c r="I160" t="s">
        <v>5</v>
      </c>
      <c r="J160">
        <v>24</v>
      </c>
      <c r="K160" t="str">
        <f t="shared" si="6"/>
        <v>High Spender</v>
      </c>
      <c r="L160" t="str">
        <f t="shared" si="7"/>
        <v>Loyal</v>
      </c>
      <c r="M160" t="str">
        <f t="shared" si="8"/>
        <v>High Value | High Spender | Loyal</v>
      </c>
    </row>
    <row r="161" spans="1:13" x14ac:dyDescent="0.35">
      <c r="A161">
        <v>160</v>
      </c>
      <c r="B161">
        <v>30</v>
      </c>
      <c r="C161" t="s">
        <v>14</v>
      </c>
      <c r="D161">
        <v>49000</v>
      </c>
      <c r="E161" t="s">
        <v>15</v>
      </c>
      <c r="F161">
        <v>300</v>
      </c>
      <c r="G161">
        <v>5</v>
      </c>
      <c r="H161" t="s">
        <v>17</v>
      </c>
      <c r="I161" t="s">
        <v>3</v>
      </c>
      <c r="J161">
        <v>16</v>
      </c>
      <c r="K161" t="str">
        <f t="shared" si="6"/>
        <v>Medium Spender</v>
      </c>
      <c r="L161" t="str">
        <f t="shared" si="7"/>
        <v>Regular</v>
      </c>
      <c r="M161" t="str">
        <f t="shared" si="8"/>
        <v>Medium Value | Medium Spender | Regular</v>
      </c>
    </row>
    <row r="162" spans="1:13" x14ac:dyDescent="0.35">
      <c r="A162">
        <v>161</v>
      </c>
      <c r="B162">
        <v>39</v>
      </c>
      <c r="C162" t="s">
        <v>23</v>
      </c>
      <c r="D162">
        <v>57000</v>
      </c>
      <c r="E162" t="s">
        <v>15</v>
      </c>
      <c r="F162">
        <v>440</v>
      </c>
      <c r="G162">
        <v>7</v>
      </c>
      <c r="H162" t="s">
        <v>17</v>
      </c>
      <c r="I162" t="s">
        <v>4</v>
      </c>
      <c r="J162">
        <v>21</v>
      </c>
      <c r="K162" t="str">
        <f t="shared" si="6"/>
        <v>High Spender</v>
      </c>
      <c r="L162" t="str">
        <f t="shared" si="7"/>
        <v>Regular</v>
      </c>
      <c r="M162" t="str">
        <f t="shared" si="8"/>
        <v>Medium Value | High Spender | Regular</v>
      </c>
    </row>
    <row r="163" spans="1:13" x14ac:dyDescent="0.35">
      <c r="A163">
        <v>162</v>
      </c>
      <c r="B163">
        <v>37</v>
      </c>
      <c r="C163" t="s">
        <v>23</v>
      </c>
      <c r="D163">
        <v>58000</v>
      </c>
      <c r="E163" t="s">
        <v>15</v>
      </c>
      <c r="F163">
        <v>420</v>
      </c>
      <c r="G163">
        <v>6.8</v>
      </c>
      <c r="H163" t="s">
        <v>17</v>
      </c>
      <c r="I163" t="s">
        <v>5</v>
      </c>
      <c r="J163">
        <v>20</v>
      </c>
      <c r="K163" t="str">
        <f t="shared" si="6"/>
        <v>High Spender</v>
      </c>
      <c r="L163" t="str">
        <f t="shared" si="7"/>
        <v>Regular</v>
      </c>
      <c r="M163" t="str">
        <f t="shared" si="8"/>
        <v>Medium Value | High Spender | Regular</v>
      </c>
    </row>
    <row r="164" spans="1:13" x14ac:dyDescent="0.35">
      <c r="A164">
        <v>163</v>
      </c>
      <c r="B164">
        <v>46</v>
      </c>
      <c r="C164" t="s">
        <v>18</v>
      </c>
      <c r="D164">
        <v>66000</v>
      </c>
      <c r="E164" t="s">
        <v>19</v>
      </c>
      <c r="F164">
        <v>510</v>
      </c>
      <c r="G164">
        <v>8.1</v>
      </c>
      <c r="H164" t="s">
        <v>20</v>
      </c>
      <c r="I164" t="s">
        <v>3</v>
      </c>
      <c r="J164">
        <v>22</v>
      </c>
      <c r="K164" t="str">
        <f t="shared" si="6"/>
        <v>High Spender</v>
      </c>
      <c r="L164" t="str">
        <f t="shared" si="7"/>
        <v>Loyal</v>
      </c>
      <c r="M164" t="str">
        <f t="shared" si="8"/>
        <v>High Value | High Spender | Loyal</v>
      </c>
    </row>
    <row r="165" spans="1:13" x14ac:dyDescent="0.35">
      <c r="A165">
        <v>164</v>
      </c>
      <c r="B165">
        <v>33</v>
      </c>
      <c r="C165" t="s">
        <v>14</v>
      </c>
      <c r="D165">
        <v>53000</v>
      </c>
      <c r="E165" t="s">
        <v>15</v>
      </c>
      <c r="F165">
        <v>380</v>
      </c>
      <c r="G165">
        <v>6</v>
      </c>
      <c r="H165" t="s">
        <v>17</v>
      </c>
      <c r="I165" t="s">
        <v>4</v>
      </c>
      <c r="J165">
        <v>18</v>
      </c>
      <c r="K165" t="str">
        <f t="shared" si="6"/>
        <v>Medium Spender</v>
      </c>
      <c r="L165" t="str">
        <f t="shared" si="7"/>
        <v>Regular</v>
      </c>
      <c r="M165" t="str">
        <f t="shared" si="8"/>
        <v>Medium Value | Medium Spender | Regular</v>
      </c>
    </row>
    <row r="166" spans="1:13" x14ac:dyDescent="0.35">
      <c r="A166">
        <v>165</v>
      </c>
      <c r="B166">
        <v>52</v>
      </c>
      <c r="C166" t="s">
        <v>18</v>
      </c>
      <c r="D166">
        <v>72000</v>
      </c>
      <c r="E166" t="s">
        <v>19</v>
      </c>
      <c r="F166">
        <v>610</v>
      </c>
      <c r="G166">
        <v>9.1999999999999993</v>
      </c>
      <c r="H166" t="s">
        <v>20</v>
      </c>
      <c r="I166" t="s">
        <v>5</v>
      </c>
      <c r="J166">
        <v>26</v>
      </c>
      <c r="K166" t="str">
        <f t="shared" si="6"/>
        <v>High Spender</v>
      </c>
      <c r="L166" t="str">
        <f t="shared" si="7"/>
        <v>Loyal</v>
      </c>
      <c r="M166" t="str">
        <f t="shared" si="8"/>
        <v>High Value | High Spender | Loyal</v>
      </c>
    </row>
    <row r="167" spans="1:13" x14ac:dyDescent="0.35">
      <c r="A167">
        <v>166</v>
      </c>
      <c r="B167">
        <v>28</v>
      </c>
      <c r="C167" t="s">
        <v>14</v>
      </c>
      <c r="D167">
        <v>46000</v>
      </c>
      <c r="E167" t="s">
        <v>15</v>
      </c>
      <c r="F167">
        <v>250</v>
      </c>
      <c r="G167">
        <v>4.2</v>
      </c>
      <c r="H167" t="s">
        <v>16</v>
      </c>
      <c r="I167" t="s">
        <v>3</v>
      </c>
      <c r="J167">
        <v>14</v>
      </c>
      <c r="K167" t="str">
        <f t="shared" si="6"/>
        <v>Medium Spender</v>
      </c>
      <c r="L167" t="str">
        <f t="shared" si="7"/>
        <v>At Risk</v>
      </c>
      <c r="M167" t="str">
        <f t="shared" si="8"/>
        <v>Low Value | Medium Spender | At Risk</v>
      </c>
    </row>
    <row r="168" spans="1:13" x14ac:dyDescent="0.35">
      <c r="A168">
        <v>167</v>
      </c>
      <c r="B168">
        <v>41</v>
      </c>
      <c r="C168" t="s">
        <v>23</v>
      </c>
      <c r="D168">
        <v>61000</v>
      </c>
      <c r="E168" t="s">
        <v>19</v>
      </c>
      <c r="F168">
        <v>480</v>
      </c>
      <c r="G168">
        <v>7.8</v>
      </c>
      <c r="H168" t="s">
        <v>17</v>
      </c>
      <c r="I168" t="s">
        <v>4</v>
      </c>
      <c r="J168">
        <v>21</v>
      </c>
      <c r="K168" t="str">
        <f t="shared" si="6"/>
        <v>High Spender</v>
      </c>
      <c r="L168" t="str">
        <f t="shared" si="7"/>
        <v>Regular</v>
      </c>
      <c r="M168" t="str">
        <f t="shared" si="8"/>
        <v>Medium Value | High Spender | Regular</v>
      </c>
    </row>
    <row r="169" spans="1:13" x14ac:dyDescent="0.35">
      <c r="A169">
        <v>168</v>
      </c>
      <c r="B169">
        <v>50</v>
      </c>
      <c r="C169" t="s">
        <v>18</v>
      </c>
      <c r="D169">
        <v>70000</v>
      </c>
      <c r="E169" t="s">
        <v>19</v>
      </c>
      <c r="F169">
        <v>600</v>
      </c>
      <c r="G169">
        <v>9</v>
      </c>
      <c r="H169" t="s">
        <v>20</v>
      </c>
      <c r="I169" t="s">
        <v>5</v>
      </c>
      <c r="J169">
        <v>25</v>
      </c>
      <c r="K169" t="str">
        <f t="shared" si="6"/>
        <v>High Spender</v>
      </c>
      <c r="L169" t="str">
        <f t="shared" si="7"/>
        <v>Loyal</v>
      </c>
      <c r="M169" t="str">
        <f t="shared" si="8"/>
        <v>High Value | High Spender | Loyal</v>
      </c>
    </row>
    <row r="170" spans="1:13" x14ac:dyDescent="0.35">
      <c r="A170">
        <v>169</v>
      </c>
      <c r="B170">
        <v>36</v>
      </c>
      <c r="C170" t="s">
        <v>23</v>
      </c>
      <c r="D170">
        <v>54000</v>
      </c>
      <c r="E170" t="s">
        <v>15</v>
      </c>
      <c r="F170">
        <v>400</v>
      </c>
      <c r="G170">
        <v>6.5</v>
      </c>
      <c r="H170" t="s">
        <v>17</v>
      </c>
      <c r="I170" t="s">
        <v>3</v>
      </c>
      <c r="J170">
        <v>19</v>
      </c>
      <c r="K170" t="str">
        <f t="shared" si="6"/>
        <v>High Spender</v>
      </c>
      <c r="L170" t="str">
        <f t="shared" si="7"/>
        <v>Regular</v>
      </c>
      <c r="M170" t="str">
        <f t="shared" si="8"/>
        <v>Medium Value | High Spender | Regular</v>
      </c>
    </row>
    <row r="171" spans="1:13" x14ac:dyDescent="0.35">
      <c r="A171">
        <v>170</v>
      </c>
      <c r="B171">
        <v>24</v>
      </c>
      <c r="C171" t="s">
        <v>21</v>
      </c>
      <c r="D171">
        <v>32000</v>
      </c>
      <c r="E171" t="s">
        <v>22</v>
      </c>
      <c r="F171">
        <v>170</v>
      </c>
      <c r="G171">
        <v>3.3</v>
      </c>
      <c r="H171" t="s">
        <v>16</v>
      </c>
      <c r="I171" t="s">
        <v>4</v>
      </c>
      <c r="J171">
        <v>11</v>
      </c>
      <c r="K171" t="str">
        <f t="shared" si="6"/>
        <v>Low Spender</v>
      </c>
      <c r="L171" t="str">
        <f t="shared" si="7"/>
        <v>At Risk</v>
      </c>
      <c r="M171" t="str">
        <f t="shared" si="8"/>
        <v>Low Value | Low Spender | At Risk</v>
      </c>
    </row>
    <row r="172" spans="1:13" x14ac:dyDescent="0.35">
      <c r="A172">
        <v>171</v>
      </c>
      <c r="B172">
        <v>49</v>
      </c>
      <c r="C172" t="s">
        <v>18</v>
      </c>
      <c r="D172">
        <v>69000</v>
      </c>
      <c r="E172" t="s">
        <v>19</v>
      </c>
      <c r="F172">
        <v>590</v>
      </c>
      <c r="G172">
        <v>8.9</v>
      </c>
      <c r="H172" t="s">
        <v>20</v>
      </c>
      <c r="I172" t="s">
        <v>5</v>
      </c>
      <c r="J172">
        <v>24</v>
      </c>
      <c r="K172" t="str">
        <f t="shared" si="6"/>
        <v>High Spender</v>
      </c>
      <c r="L172" t="str">
        <f t="shared" si="7"/>
        <v>Loyal</v>
      </c>
      <c r="M172" t="str">
        <f t="shared" si="8"/>
        <v>High Value | High Spender | Loyal</v>
      </c>
    </row>
    <row r="173" spans="1:13" x14ac:dyDescent="0.35">
      <c r="A173">
        <v>172</v>
      </c>
      <c r="B173">
        <v>26</v>
      </c>
      <c r="C173" t="s">
        <v>14</v>
      </c>
      <c r="D173">
        <v>44000</v>
      </c>
      <c r="E173" t="s">
        <v>15</v>
      </c>
      <c r="F173">
        <v>240</v>
      </c>
      <c r="G173">
        <v>4.3</v>
      </c>
      <c r="H173" t="s">
        <v>16</v>
      </c>
      <c r="I173" t="s">
        <v>3</v>
      </c>
      <c r="J173">
        <v>14</v>
      </c>
      <c r="K173" t="str">
        <f t="shared" si="6"/>
        <v>Low Spender</v>
      </c>
      <c r="L173" t="str">
        <f t="shared" si="7"/>
        <v>At Risk</v>
      </c>
      <c r="M173" t="str">
        <f t="shared" si="8"/>
        <v>Low Value | Low Spender | At Risk</v>
      </c>
    </row>
    <row r="174" spans="1:13" x14ac:dyDescent="0.35">
      <c r="A174">
        <v>173</v>
      </c>
      <c r="B174">
        <v>45</v>
      </c>
      <c r="C174" t="s">
        <v>18</v>
      </c>
      <c r="D174">
        <v>65000</v>
      </c>
      <c r="E174" t="s">
        <v>19</v>
      </c>
      <c r="F174">
        <v>500</v>
      </c>
      <c r="G174">
        <v>8</v>
      </c>
      <c r="H174" t="s">
        <v>20</v>
      </c>
      <c r="I174" t="s">
        <v>4</v>
      </c>
      <c r="J174">
        <v>22</v>
      </c>
      <c r="K174" t="str">
        <f t="shared" si="6"/>
        <v>High Spender</v>
      </c>
      <c r="L174" t="str">
        <f t="shared" si="7"/>
        <v>Loyal</v>
      </c>
      <c r="M174" t="str">
        <f t="shared" si="8"/>
        <v>High Value | High Spender | Loyal</v>
      </c>
    </row>
    <row r="175" spans="1:13" x14ac:dyDescent="0.35">
      <c r="A175">
        <v>174</v>
      </c>
      <c r="B175">
        <v>40</v>
      </c>
      <c r="C175" t="s">
        <v>23</v>
      </c>
      <c r="D175">
        <v>60000</v>
      </c>
      <c r="E175" t="s">
        <v>19</v>
      </c>
      <c r="F175">
        <v>450</v>
      </c>
      <c r="G175">
        <v>7.2</v>
      </c>
      <c r="H175" t="s">
        <v>17</v>
      </c>
      <c r="I175" t="s">
        <v>5</v>
      </c>
      <c r="J175">
        <v>20</v>
      </c>
      <c r="K175" t="str">
        <f t="shared" si="6"/>
        <v>High Spender</v>
      </c>
      <c r="L175" t="str">
        <f t="shared" si="7"/>
        <v>Regular</v>
      </c>
      <c r="M175" t="str">
        <f t="shared" si="8"/>
        <v>Medium Value | High Spender | Regular</v>
      </c>
    </row>
    <row r="176" spans="1:13" x14ac:dyDescent="0.35">
      <c r="A176">
        <v>175</v>
      </c>
      <c r="B176">
        <v>38</v>
      </c>
      <c r="C176" t="s">
        <v>23</v>
      </c>
      <c r="D176">
        <v>59000</v>
      </c>
      <c r="E176" t="s">
        <v>15</v>
      </c>
      <c r="F176">
        <v>430</v>
      </c>
      <c r="G176">
        <v>6.9</v>
      </c>
      <c r="H176" t="s">
        <v>17</v>
      </c>
      <c r="I176" t="s">
        <v>3</v>
      </c>
      <c r="J176">
        <v>20</v>
      </c>
      <c r="K176" t="str">
        <f t="shared" si="6"/>
        <v>High Spender</v>
      </c>
      <c r="L176" t="str">
        <f t="shared" si="7"/>
        <v>Regular</v>
      </c>
      <c r="M176" t="str">
        <f t="shared" si="8"/>
        <v>Medium Value | High Spender | Regular</v>
      </c>
    </row>
    <row r="177" spans="1:13" x14ac:dyDescent="0.35">
      <c r="A177">
        <v>176</v>
      </c>
      <c r="B177">
        <v>54</v>
      </c>
      <c r="C177" t="s">
        <v>18</v>
      </c>
      <c r="D177">
        <v>74000</v>
      </c>
      <c r="E177" t="s">
        <v>19</v>
      </c>
      <c r="F177">
        <v>630</v>
      </c>
      <c r="G177">
        <v>9.4</v>
      </c>
      <c r="H177" t="s">
        <v>20</v>
      </c>
      <c r="I177" t="s">
        <v>4</v>
      </c>
      <c r="J177">
        <v>27</v>
      </c>
      <c r="K177" t="str">
        <f t="shared" si="6"/>
        <v>High Spender</v>
      </c>
      <c r="L177" t="str">
        <f t="shared" si="7"/>
        <v>Loyal</v>
      </c>
      <c r="M177" t="str">
        <f t="shared" si="8"/>
        <v>High Value | High Spender | Loyal</v>
      </c>
    </row>
    <row r="178" spans="1:13" x14ac:dyDescent="0.35">
      <c r="A178">
        <v>177</v>
      </c>
      <c r="B178">
        <v>32</v>
      </c>
      <c r="C178" t="s">
        <v>14</v>
      </c>
      <c r="D178">
        <v>52000</v>
      </c>
      <c r="E178" t="s">
        <v>15</v>
      </c>
      <c r="F178">
        <v>360</v>
      </c>
      <c r="G178">
        <v>5.8</v>
      </c>
      <c r="H178" t="s">
        <v>17</v>
      </c>
      <c r="I178" t="s">
        <v>5</v>
      </c>
      <c r="J178">
        <v>18</v>
      </c>
      <c r="K178" t="str">
        <f t="shared" si="6"/>
        <v>Medium Spender</v>
      </c>
      <c r="L178" t="str">
        <f t="shared" si="7"/>
        <v>Regular</v>
      </c>
      <c r="M178" t="str">
        <f t="shared" si="8"/>
        <v>Medium Value | Medium Spender | Regular</v>
      </c>
    </row>
    <row r="179" spans="1:13" x14ac:dyDescent="0.35">
      <c r="A179">
        <v>178</v>
      </c>
      <c r="B179">
        <v>31</v>
      </c>
      <c r="C179" t="s">
        <v>14</v>
      </c>
      <c r="D179">
        <v>51000</v>
      </c>
      <c r="E179" t="s">
        <v>15</v>
      </c>
      <c r="F179">
        <v>340</v>
      </c>
      <c r="G179">
        <v>5.6</v>
      </c>
      <c r="H179" t="s">
        <v>17</v>
      </c>
      <c r="I179" t="s">
        <v>3</v>
      </c>
      <c r="J179">
        <v>17</v>
      </c>
      <c r="K179" t="str">
        <f t="shared" si="6"/>
        <v>Medium Spender</v>
      </c>
      <c r="L179" t="str">
        <f t="shared" si="7"/>
        <v>Regular</v>
      </c>
      <c r="M179" t="str">
        <f t="shared" si="8"/>
        <v>Medium Value | Medium Spender | Regular</v>
      </c>
    </row>
    <row r="180" spans="1:13" x14ac:dyDescent="0.35">
      <c r="A180">
        <v>179</v>
      </c>
      <c r="B180">
        <v>42</v>
      </c>
      <c r="C180" t="s">
        <v>23</v>
      </c>
      <c r="D180">
        <v>62000</v>
      </c>
      <c r="E180" t="s">
        <v>19</v>
      </c>
      <c r="F180">
        <v>520</v>
      </c>
      <c r="G180">
        <v>8.1999999999999993</v>
      </c>
      <c r="H180" t="s">
        <v>20</v>
      </c>
      <c r="I180" t="s">
        <v>4</v>
      </c>
      <c r="J180">
        <v>23</v>
      </c>
      <c r="K180" t="str">
        <f t="shared" si="6"/>
        <v>High Spender</v>
      </c>
      <c r="L180" t="str">
        <f t="shared" si="7"/>
        <v>Loyal</v>
      </c>
      <c r="M180" t="str">
        <f t="shared" si="8"/>
        <v>High Value | High Spender | Loyal</v>
      </c>
    </row>
    <row r="181" spans="1:13" x14ac:dyDescent="0.35">
      <c r="A181">
        <v>180</v>
      </c>
      <c r="B181">
        <v>55</v>
      </c>
      <c r="C181" t="s">
        <v>18</v>
      </c>
      <c r="D181">
        <v>75000</v>
      </c>
      <c r="E181" t="s">
        <v>19</v>
      </c>
      <c r="F181">
        <v>640</v>
      </c>
      <c r="G181">
        <v>9.5</v>
      </c>
      <c r="H181" t="s">
        <v>20</v>
      </c>
      <c r="I181" t="s">
        <v>5</v>
      </c>
      <c r="J181">
        <v>28</v>
      </c>
      <c r="K181" t="str">
        <f t="shared" si="6"/>
        <v>High Spender</v>
      </c>
      <c r="L181" t="str">
        <f t="shared" si="7"/>
        <v>Loyal</v>
      </c>
      <c r="M181" t="str">
        <f t="shared" si="8"/>
        <v>High Value | High Spender | Loyal</v>
      </c>
    </row>
    <row r="182" spans="1:13" x14ac:dyDescent="0.35">
      <c r="A182">
        <v>181</v>
      </c>
      <c r="B182">
        <v>29</v>
      </c>
      <c r="C182" t="s">
        <v>14</v>
      </c>
      <c r="D182">
        <v>46000</v>
      </c>
      <c r="E182" t="s">
        <v>15</v>
      </c>
      <c r="F182">
        <v>270</v>
      </c>
      <c r="G182">
        <v>4.3</v>
      </c>
      <c r="H182" t="s">
        <v>16</v>
      </c>
      <c r="I182" t="s">
        <v>3</v>
      </c>
      <c r="J182">
        <v>15</v>
      </c>
      <c r="K182" t="str">
        <f t="shared" si="6"/>
        <v>Medium Spender</v>
      </c>
      <c r="L182" t="str">
        <f t="shared" si="7"/>
        <v>At Risk</v>
      </c>
      <c r="M182" t="str">
        <f t="shared" si="8"/>
        <v>Low Value | Medium Spender | At Risk</v>
      </c>
    </row>
    <row r="183" spans="1:13" x14ac:dyDescent="0.35">
      <c r="A183">
        <v>182</v>
      </c>
      <c r="B183">
        <v>33</v>
      </c>
      <c r="C183" t="s">
        <v>14</v>
      </c>
      <c r="D183">
        <v>53000</v>
      </c>
      <c r="E183" t="s">
        <v>15</v>
      </c>
      <c r="F183">
        <v>380</v>
      </c>
      <c r="G183">
        <v>6</v>
      </c>
      <c r="H183" t="s">
        <v>17</v>
      </c>
      <c r="I183" t="s">
        <v>4</v>
      </c>
      <c r="J183">
        <v>18</v>
      </c>
      <c r="K183" t="str">
        <f t="shared" si="6"/>
        <v>Medium Spender</v>
      </c>
      <c r="L183" t="str">
        <f t="shared" si="7"/>
        <v>Regular</v>
      </c>
      <c r="M183" t="str">
        <f t="shared" si="8"/>
        <v>Medium Value | Medium Spender | Regular</v>
      </c>
    </row>
    <row r="184" spans="1:13" x14ac:dyDescent="0.35">
      <c r="A184">
        <v>183</v>
      </c>
      <c r="B184">
        <v>51</v>
      </c>
      <c r="C184" t="s">
        <v>18</v>
      </c>
      <c r="D184">
        <v>71000</v>
      </c>
      <c r="E184" t="s">
        <v>19</v>
      </c>
      <c r="F184">
        <v>600</v>
      </c>
      <c r="G184">
        <v>9</v>
      </c>
      <c r="H184" t="s">
        <v>20</v>
      </c>
      <c r="I184" t="s">
        <v>5</v>
      </c>
      <c r="J184">
        <v>25</v>
      </c>
      <c r="K184" t="str">
        <f t="shared" si="6"/>
        <v>High Spender</v>
      </c>
      <c r="L184" t="str">
        <f t="shared" si="7"/>
        <v>Loyal</v>
      </c>
      <c r="M184" t="str">
        <f t="shared" si="8"/>
        <v>High Value | High Spender | Loyal</v>
      </c>
    </row>
    <row r="185" spans="1:13" x14ac:dyDescent="0.35">
      <c r="A185">
        <v>184</v>
      </c>
      <c r="B185">
        <v>27</v>
      </c>
      <c r="C185" t="s">
        <v>14</v>
      </c>
      <c r="D185">
        <v>43000</v>
      </c>
      <c r="E185" t="s">
        <v>15</v>
      </c>
      <c r="F185">
        <v>230</v>
      </c>
      <c r="G185">
        <v>4</v>
      </c>
      <c r="H185" t="s">
        <v>16</v>
      </c>
      <c r="I185" t="s">
        <v>3</v>
      </c>
      <c r="J185">
        <v>14</v>
      </c>
      <c r="K185" t="str">
        <f t="shared" si="6"/>
        <v>Low Spender</v>
      </c>
      <c r="L185" t="str">
        <f t="shared" si="7"/>
        <v>At Risk</v>
      </c>
      <c r="M185" t="str">
        <f t="shared" si="8"/>
        <v>Low Value | Low Spender | At Risk</v>
      </c>
    </row>
    <row r="186" spans="1:13" x14ac:dyDescent="0.35">
      <c r="A186">
        <v>185</v>
      </c>
      <c r="B186">
        <v>43</v>
      </c>
      <c r="C186" t="s">
        <v>23</v>
      </c>
      <c r="D186">
        <v>63000</v>
      </c>
      <c r="E186" t="s">
        <v>19</v>
      </c>
      <c r="F186">
        <v>470</v>
      </c>
      <c r="G186">
        <v>7.8</v>
      </c>
      <c r="H186" t="s">
        <v>17</v>
      </c>
      <c r="I186" t="s">
        <v>4</v>
      </c>
      <c r="J186">
        <v>21</v>
      </c>
      <c r="K186" t="str">
        <f t="shared" si="6"/>
        <v>High Spender</v>
      </c>
      <c r="L186" t="str">
        <f t="shared" si="7"/>
        <v>Regular</v>
      </c>
      <c r="M186" t="str">
        <f t="shared" si="8"/>
        <v>Medium Value | High Spender | Regular</v>
      </c>
    </row>
    <row r="187" spans="1:13" x14ac:dyDescent="0.35">
      <c r="A187">
        <v>186</v>
      </c>
      <c r="B187">
        <v>41</v>
      </c>
      <c r="C187" t="s">
        <v>23</v>
      </c>
      <c r="D187">
        <v>61000</v>
      </c>
      <c r="E187" t="s">
        <v>19</v>
      </c>
      <c r="F187">
        <v>480</v>
      </c>
      <c r="G187">
        <v>7.7</v>
      </c>
      <c r="H187" t="s">
        <v>17</v>
      </c>
      <c r="I187" t="s">
        <v>5</v>
      </c>
      <c r="J187">
        <v>22</v>
      </c>
      <c r="K187" t="str">
        <f t="shared" si="6"/>
        <v>High Spender</v>
      </c>
      <c r="L187" t="str">
        <f t="shared" si="7"/>
        <v>Regular</v>
      </c>
      <c r="M187" t="str">
        <f t="shared" si="8"/>
        <v>Medium Value | High Spender | Regular</v>
      </c>
    </row>
    <row r="188" spans="1:13" x14ac:dyDescent="0.35">
      <c r="A188">
        <v>187</v>
      </c>
      <c r="B188">
        <v>50</v>
      </c>
      <c r="C188" t="s">
        <v>18</v>
      </c>
      <c r="D188">
        <v>70000</v>
      </c>
      <c r="E188" t="s">
        <v>19</v>
      </c>
      <c r="F188">
        <v>600</v>
      </c>
      <c r="G188">
        <v>9</v>
      </c>
      <c r="H188" t="s">
        <v>20</v>
      </c>
      <c r="I188" t="s">
        <v>3</v>
      </c>
      <c r="J188">
        <v>25</v>
      </c>
      <c r="K188" t="str">
        <f t="shared" si="6"/>
        <v>High Spender</v>
      </c>
      <c r="L188" t="str">
        <f t="shared" si="7"/>
        <v>Loyal</v>
      </c>
      <c r="M188" t="str">
        <f t="shared" si="8"/>
        <v>High Value | High Spender | Loyal</v>
      </c>
    </row>
    <row r="189" spans="1:13" x14ac:dyDescent="0.35">
      <c r="A189">
        <v>188</v>
      </c>
      <c r="B189">
        <v>24</v>
      </c>
      <c r="C189" t="s">
        <v>21</v>
      </c>
      <c r="D189">
        <v>32000</v>
      </c>
      <c r="E189" t="s">
        <v>22</v>
      </c>
      <c r="F189">
        <v>170</v>
      </c>
      <c r="G189">
        <v>3.3</v>
      </c>
      <c r="H189" t="s">
        <v>16</v>
      </c>
      <c r="I189" t="s">
        <v>4</v>
      </c>
      <c r="J189">
        <v>11</v>
      </c>
      <c r="K189" t="str">
        <f t="shared" si="6"/>
        <v>Low Spender</v>
      </c>
      <c r="L189" t="str">
        <f t="shared" si="7"/>
        <v>At Risk</v>
      </c>
      <c r="M189" t="str">
        <f t="shared" si="8"/>
        <v>Low Value | Low Spender | At Risk</v>
      </c>
    </row>
    <row r="190" spans="1:13" x14ac:dyDescent="0.35">
      <c r="A190">
        <v>189</v>
      </c>
      <c r="B190">
        <v>48</v>
      </c>
      <c r="C190" t="s">
        <v>18</v>
      </c>
      <c r="D190">
        <v>68000</v>
      </c>
      <c r="E190" t="s">
        <v>19</v>
      </c>
      <c r="F190">
        <v>550</v>
      </c>
      <c r="G190">
        <v>8.5</v>
      </c>
      <c r="H190" t="s">
        <v>20</v>
      </c>
      <c r="I190" t="s">
        <v>5</v>
      </c>
      <c r="J190">
        <v>24</v>
      </c>
      <c r="K190" t="str">
        <f t="shared" si="6"/>
        <v>High Spender</v>
      </c>
      <c r="L190" t="str">
        <f t="shared" si="7"/>
        <v>Loyal</v>
      </c>
      <c r="M190" t="str">
        <f t="shared" si="8"/>
        <v>High Value | High Spender | Loyal</v>
      </c>
    </row>
    <row r="191" spans="1:13" x14ac:dyDescent="0.35">
      <c r="A191">
        <v>190</v>
      </c>
      <c r="B191">
        <v>30</v>
      </c>
      <c r="C191" t="s">
        <v>14</v>
      </c>
      <c r="D191">
        <v>49000</v>
      </c>
      <c r="E191" t="s">
        <v>15</v>
      </c>
      <c r="F191">
        <v>300</v>
      </c>
      <c r="G191">
        <v>5</v>
      </c>
      <c r="H191" t="s">
        <v>17</v>
      </c>
      <c r="I191" t="s">
        <v>3</v>
      </c>
      <c r="J191">
        <v>16</v>
      </c>
      <c r="K191" t="str">
        <f t="shared" si="6"/>
        <v>Medium Spender</v>
      </c>
      <c r="L191" t="str">
        <f t="shared" si="7"/>
        <v>Regular</v>
      </c>
      <c r="M191" t="str">
        <f t="shared" si="8"/>
        <v>Medium Value | Medium Spender | Regular</v>
      </c>
    </row>
    <row r="192" spans="1:13" x14ac:dyDescent="0.35">
      <c r="A192">
        <v>191</v>
      </c>
      <c r="B192">
        <v>39</v>
      </c>
      <c r="C192" t="s">
        <v>23</v>
      </c>
      <c r="D192">
        <v>57000</v>
      </c>
      <c r="E192" t="s">
        <v>15</v>
      </c>
      <c r="F192">
        <v>440</v>
      </c>
      <c r="G192">
        <v>7</v>
      </c>
      <c r="H192" t="s">
        <v>17</v>
      </c>
      <c r="I192" t="s">
        <v>4</v>
      </c>
      <c r="J192">
        <v>21</v>
      </c>
      <c r="K192" t="str">
        <f t="shared" si="6"/>
        <v>High Spender</v>
      </c>
      <c r="L192" t="str">
        <f t="shared" si="7"/>
        <v>Regular</v>
      </c>
      <c r="M192" t="str">
        <f t="shared" si="8"/>
        <v>Medium Value | High Spender | Regular</v>
      </c>
    </row>
    <row r="193" spans="1:13" x14ac:dyDescent="0.35">
      <c r="A193">
        <v>192</v>
      </c>
      <c r="B193">
        <v>37</v>
      </c>
      <c r="C193" t="s">
        <v>23</v>
      </c>
      <c r="D193">
        <v>58000</v>
      </c>
      <c r="E193" t="s">
        <v>15</v>
      </c>
      <c r="F193">
        <v>420</v>
      </c>
      <c r="G193">
        <v>6.8</v>
      </c>
      <c r="H193" t="s">
        <v>17</v>
      </c>
      <c r="I193" t="s">
        <v>5</v>
      </c>
      <c r="J193">
        <v>20</v>
      </c>
      <c r="K193" t="str">
        <f t="shared" si="6"/>
        <v>High Spender</v>
      </c>
      <c r="L193" t="str">
        <f t="shared" si="7"/>
        <v>Regular</v>
      </c>
      <c r="M193" t="str">
        <f t="shared" si="8"/>
        <v>Medium Value | High Spender | Regular</v>
      </c>
    </row>
    <row r="194" spans="1:13" x14ac:dyDescent="0.35">
      <c r="A194">
        <v>193</v>
      </c>
      <c r="B194">
        <v>46</v>
      </c>
      <c r="C194" t="s">
        <v>18</v>
      </c>
      <c r="D194">
        <v>66000</v>
      </c>
      <c r="E194" t="s">
        <v>19</v>
      </c>
      <c r="F194">
        <v>510</v>
      </c>
      <c r="G194">
        <v>8.1</v>
      </c>
      <c r="H194" t="s">
        <v>20</v>
      </c>
      <c r="I194" t="s">
        <v>3</v>
      </c>
      <c r="J194">
        <v>22</v>
      </c>
      <c r="K194" t="str">
        <f t="shared" si="6"/>
        <v>High Spender</v>
      </c>
      <c r="L194" t="str">
        <f t="shared" si="7"/>
        <v>Loyal</v>
      </c>
      <c r="M194" t="str">
        <f t="shared" si="8"/>
        <v>High Value | High Spender | Loyal</v>
      </c>
    </row>
    <row r="195" spans="1:13" x14ac:dyDescent="0.35">
      <c r="A195">
        <v>194</v>
      </c>
      <c r="B195">
        <v>33</v>
      </c>
      <c r="C195" t="s">
        <v>14</v>
      </c>
      <c r="D195">
        <v>53000</v>
      </c>
      <c r="E195" t="s">
        <v>15</v>
      </c>
      <c r="F195">
        <v>380</v>
      </c>
      <c r="G195">
        <v>6</v>
      </c>
      <c r="H195" t="s">
        <v>17</v>
      </c>
      <c r="I195" t="s">
        <v>4</v>
      </c>
      <c r="J195">
        <v>18</v>
      </c>
      <c r="K195" t="str">
        <f t="shared" ref="K195:K239" si="9">IF(F195&gt;=400,"High Spender",IF(F195&gt;=250,"Medium Spender","Low Spender"))</f>
        <v>Medium Spender</v>
      </c>
      <c r="L195" t="str">
        <f t="shared" ref="L195:L239" si="10">IF(OR(G195&lt;5,J195&lt;10),"At Risk",IF(G195&gt;=8,"Loyal","Regular"))</f>
        <v>Regular</v>
      </c>
      <c r="M195" t="str">
        <f t="shared" ref="M195:M239" si="11">H195 &amp; " | " &amp; K195 &amp; " | " &amp; L195</f>
        <v>Medium Value | Medium Spender | Regular</v>
      </c>
    </row>
    <row r="196" spans="1:13" x14ac:dyDescent="0.35">
      <c r="A196">
        <v>195</v>
      </c>
      <c r="B196">
        <v>52</v>
      </c>
      <c r="C196" t="s">
        <v>18</v>
      </c>
      <c r="D196">
        <v>72000</v>
      </c>
      <c r="E196" t="s">
        <v>19</v>
      </c>
      <c r="F196">
        <v>610</v>
      </c>
      <c r="G196">
        <v>9.1999999999999993</v>
      </c>
      <c r="H196" t="s">
        <v>20</v>
      </c>
      <c r="I196" t="s">
        <v>5</v>
      </c>
      <c r="J196">
        <v>26</v>
      </c>
      <c r="K196" t="str">
        <f t="shared" si="9"/>
        <v>High Spender</v>
      </c>
      <c r="L196" t="str">
        <f t="shared" si="10"/>
        <v>Loyal</v>
      </c>
      <c r="M196" t="str">
        <f t="shared" si="11"/>
        <v>High Value | High Spender | Loyal</v>
      </c>
    </row>
    <row r="197" spans="1:13" x14ac:dyDescent="0.35">
      <c r="A197">
        <v>196</v>
      </c>
      <c r="B197">
        <v>28</v>
      </c>
      <c r="C197" t="s">
        <v>14</v>
      </c>
      <c r="D197">
        <v>46000</v>
      </c>
      <c r="E197" t="s">
        <v>15</v>
      </c>
      <c r="F197">
        <v>250</v>
      </c>
      <c r="G197">
        <v>4.2</v>
      </c>
      <c r="H197" t="s">
        <v>16</v>
      </c>
      <c r="I197" t="s">
        <v>3</v>
      </c>
      <c r="J197">
        <v>14</v>
      </c>
      <c r="K197" t="str">
        <f t="shared" si="9"/>
        <v>Medium Spender</v>
      </c>
      <c r="L197" t="str">
        <f t="shared" si="10"/>
        <v>At Risk</v>
      </c>
      <c r="M197" t="str">
        <f t="shared" si="11"/>
        <v>Low Value | Medium Spender | At Risk</v>
      </c>
    </row>
    <row r="198" spans="1:13" x14ac:dyDescent="0.35">
      <c r="A198">
        <v>197</v>
      </c>
      <c r="B198">
        <v>41</v>
      </c>
      <c r="C198" t="s">
        <v>23</v>
      </c>
      <c r="D198">
        <v>61000</v>
      </c>
      <c r="E198" t="s">
        <v>19</v>
      </c>
      <c r="F198">
        <v>480</v>
      </c>
      <c r="G198">
        <v>7.8</v>
      </c>
      <c r="H198" t="s">
        <v>17</v>
      </c>
      <c r="I198" t="s">
        <v>4</v>
      </c>
      <c r="J198">
        <v>21</v>
      </c>
      <c r="K198" t="str">
        <f t="shared" si="9"/>
        <v>High Spender</v>
      </c>
      <c r="L198" t="str">
        <f t="shared" si="10"/>
        <v>Regular</v>
      </c>
      <c r="M198" t="str">
        <f t="shared" si="11"/>
        <v>Medium Value | High Spender | Regular</v>
      </c>
    </row>
    <row r="199" spans="1:13" x14ac:dyDescent="0.35">
      <c r="A199">
        <v>198</v>
      </c>
      <c r="B199">
        <v>50</v>
      </c>
      <c r="C199" t="s">
        <v>18</v>
      </c>
      <c r="D199">
        <v>70000</v>
      </c>
      <c r="E199" t="s">
        <v>19</v>
      </c>
      <c r="F199">
        <v>600</v>
      </c>
      <c r="G199">
        <v>9</v>
      </c>
      <c r="H199" t="s">
        <v>20</v>
      </c>
      <c r="I199" t="s">
        <v>5</v>
      </c>
      <c r="J199">
        <v>25</v>
      </c>
      <c r="K199" t="str">
        <f t="shared" si="9"/>
        <v>High Spender</v>
      </c>
      <c r="L199" t="str">
        <f t="shared" si="10"/>
        <v>Loyal</v>
      </c>
      <c r="M199" t="str">
        <f t="shared" si="11"/>
        <v>High Value | High Spender | Loyal</v>
      </c>
    </row>
    <row r="200" spans="1:13" x14ac:dyDescent="0.35">
      <c r="A200">
        <v>199</v>
      </c>
      <c r="B200">
        <v>36</v>
      </c>
      <c r="C200" t="s">
        <v>23</v>
      </c>
      <c r="D200">
        <v>54000</v>
      </c>
      <c r="E200" t="s">
        <v>15</v>
      </c>
      <c r="F200">
        <v>400</v>
      </c>
      <c r="G200">
        <v>6.5</v>
      </c>
      <c r="H200" t="s">
        <v>17</v>
      </c>
      <c r="I200" t="s">
        <v>3</v>
      </c>
      <c r="J200">
        <v>19</v>
      </c>
      <c r="K200" t="str">
        <f t="shared" si="9"/>
        <v>High Spender</v>
      </c>
      <c r="L200" t="str">
        <f t="shared" si="10"/>
        <v>Regular</v>
      </c>
      <c r="M200" t="str">
        <f t="shared" si="11"/>
        <v>Medium Value | High Spender | Regular</v>
      </c>
    </row>
    <row r="201" spans="1:13" x14ac:dyDescent="0.35">
      <c r="A201">
        <v>200</v>
      </c>
      <c r="B201">
        <v>24</v>
      </c>
      <c r="C201" t="s">
        <v>21</v>
      </c>
      <c r="D201">
        <v>32000</v>
      </c>
      <c r="E201" t="s">
        <v>22</v>
      </c>
      <c r="F201">
        <v>170</v>
      </c>
      <c r="G201">
        <v>3.3</v>
      </c>
      <c r="H201" t="s">
        <v>16</v>
      </c>
      <c r="I201" t="s">
        <v>4</v>
      </c>
      <c r="J201">
        <v>11</v>
      </c>
      <c r="K201" t="str">
        <f t="shared" si="9"/>
        <v>Low Spender</v>
      </c>
      <c r="L201" t="str">
        <f t="shared" si="10"/>
        <v>At Risk</v>
      </c>
      <c r="M201" t="str">
        <f t="shared" si="11"/>
        <v>Low Value | Low Spender | At Risk</v>
      </c>
    </row>
    <row r="202" spans="1:13" x14ac:dyDescent="0.35">
      <c r="A202">
        <v>201</v>
      </c>
      <c r="B202">
        <v>49</v>
      </c>
      <c r="C202" t="s">
        <v>18</v>
      </c>
      <c r="D202">
        <v>69000</v>
      </c>
      <c r="E202" t="s">
        <v>19</v>
      </c>
      <c r="F202">
        <v>590</v>
      </c>
      <c r="G202">
        <v>8.9</v>
      </c>
      <c r="H202" t="s">
        <v>20</v>
      </c>
      <c r="I202" t="s">
        <v>5</v>
      </c>
      <c r="J202">
        <v>24</v>
      </c>
      <c r="K202" t="str">
        <f t="shared" si="9"/>
        <v>High Spender</v>
      </c>
      <c r="L202" t="str">
        <f t="shared" si="10"/>
        <v>Loyal</v>
      </c>
      <c r="M202" t="str">
        <f t="shared" si="11"/>
        <v>High Value | High Spender | Loyal</v>
      </c>
    </row>
    <row r="203" spans="1:13" x14ac:dyDescent="0.35">
      <c r="A203">
        <v>202</v>
      </c>
      <c r="B203">
        <v>26</v>
      </c>
      <c r="C203" t="s">
        <v>14</v>
      </c>
      <c r="D203">
        <v>44000</v>
      </c>
      <c r="E203" t="s">
        <v>15</v>
      </c>
      <c r="F203">
        <v>240</v>
      </c>
      <c r="G203">
        <v>4.3</v>
      </c>
      <c r="H203" t="s">
        <v>16</v>
      </c>
      <c r="I203" t="s">
        <v>3</v>
      </c>
      <c r="J203">
        <v>14</v>
      </c>
      <c r="K203" t="str">
        <f t="shared" si="9"/>
        <v>Low Spender</v>
      </c>
      <c r="L203" t="str">
        <f t="shared" si="10"/>
        <v>At Risk</v>
      </c>
      <c r="M203" t="str">
        <f t="shared" si="11"/>
        <v>Low Value | Low Spender | At Risk</v>
      </c>
    </row>
    <row r="204" spans="1:13" x14ac:dyDescent="0.35">
      <c r="A204">
        <v>203</v>
      </c>
      <c r="B204">
        <v>45</v>
      </c>
      <c r="C204" t="s">
        <v>18</v>
      </c>
      <c r="D204">
        <v>65000</v>
      </c>
      <c r="E204" t="s">
        <v>19</v>
      </c>
      <c r="F204">
        <v>500</v>
      </c>
      <c r="G204">
        <v>8</v>
      </c>
      <c r="H204" t="s">
        <v>20</v>
      </c>
      <c r="I204" t="s">
        <v>4</v>
      </c>
      <c r="J204">
        <v>22</v>
      </c>
      <c r="K204" t="str">
        <f t="shared" si="9"/>
        <v>High Spender</v>
      </c>
      <c r="L204" t="str">
        <f t="shared" si="10"/>
        <v>Loyal</v>
      </c>
      <c r="M204" t="str">
        <f t="shared" si="11"/>
        <v>High Value | High Spender | Loyal</v>
      </c>
    </row>
    <row r="205" spans="1:13" x14ac:dyDescent="0.35">
      <c r="A205">
        <v>204</v>
      </c>
      <c r="B205">
        <v>40</v>
      </c>
      <c r="C205" t="s">
        <v>23</v>
      </c>
      <c r="D205">
        <v>60000</v>
      </c>
      <c r="E205" t="s">
        <v>19</v>
      </c>
      <c r="F205">
        <v>450</v>
      </c>
      <c r="G205">
        <v>7.2</v>
      </c>
      <c r="H205" t="s">
        <v>17</v>
      </c>
      <c r="I205" t="s">
        <v>5</v>
      </c>
      <c r="J205">
        <v>20</v>
      </c>
      <c r="K205" t="str">
        <f t="shared" si="9"/>
        <v>High Spender</v>
      </c>
      <c r="L205" t="str">
        <f t="shared" si="10"/>
        <v>Regular</v>
      </c>
      <c r="M205" t="str">
        <f t="shared" si="11"/>
        <v>Medium Value | High Spender | Regular</v>
      </c>
    </row>
    <row r="206" spans="1:13" x14ac:dyDescent="0.35">
      <c r="A206">
        <v>205</v>
      </c>
      <c r="B206">
        <v>38</v>
      </c>
      <c r="C206" t="s">
        <v>23</v>
      </c>
      <c r="D206">
        <v>59000</v>
      </c>
      <c r="E206" t="s">
        <v>15</v>
      </c>
      <c r="F206">
        <v>430</v>
      </c>
      <c r="G206">
        <v>6.9</v>
      </c>
      <c r="H206" t="s">
        <v>17</v>
      </c>
      <c r="I206" t="s">
        <v>3</v>
      </c>
      <c r="J206">
        <v>20</v>
      </c>
      <c r="K206" t="str">
        <f t="shared" si="9"/>
        <v>High Spender</v>
      </c>
      <c r="L206" t="str">
        <f t="shared" si="10"/>
        <v>Regular</v>
      </c>
      <c r="M206" t="str">
        <f t="shared" si="11"/>
        <v>Medium Value | High Spender | Regular</v>
      </c>
    </row>
    <row r="207" spans="1:13" x14ac:dyDescent="0.35">
      <c r="A207">
        <v>206</v>
      </c>
      <c r="B207">
        <v>54</v>
      </c>
      <c r="C207" t="s">
        <v>18</v>
      </c>
      <c r="D207">
        <v>74000</v>
      </c>
      <c r="E207" t="s">
        <v>19</v>
      </c>
      <c r="F207">
        <v>630</v>
      </c>
      <c r="G207">
        <v>9.4</v>
      </c>
      <c r="H207" t="s">
        <v>20</v>
      </c>
      <c r="I207" t="s">
        <v>4</v>
      </c>
      <c r="J207">
        <v>27</v>
      </c>
      <c r="K207" t="str">
        <f t="shared" si="9"/>
        <v>High Spender</v>
      </c>
      <c r="L207" t="str">
        <f t="shared" si="10"/>
        <v>Loyal</v>
      </c>
      <c r="M207" t="str">
        <f t="shared" si="11"/>
        <v>High Value | High Spender | Loyal</v>
      </c>
    </row>
    <row r="208" spans="1:13" x14ac:dyDescent="0.35">
      <c r="A208">
        <v>207</v>
      </c>
      <c r="B208">
        <v>32</v>
      </c>
      <c r="C208" t="s">
        <v>14</v>
      </c>
      <c r="D208">
        <v>52000</v>
      </c>
      <c r="E208" t="s">
        <v>15</v>
      </c>
      <c r="F208">
        <v>360</v>
      </c>
      <c r="G208">
        <v>5.8</v>
      </c>
      <c r="H208" t="s">
        <v>17</v>
      </c>
      <c r="I208" t="s">
        <v>5</v>
      </c>
      <c r="J208">
        <v>18</v>
      </c>
      <c r="K208" t="str">
        <f t="shared" si="9"/>
        <v>Medium Spender</v>
      </c>
      <c r="L208" t="str">
        <f t="shared" si="10"/>
        <v>Regular</v>
      </c>
      <c r="M208" t="str">
        <f t="shared" si="11"/>
        <v>Medium Value | Medium Spender | Regular</v>
      </c>
    </row>
    <row r="209" spans="1:13" x14ac:dyDescent="0.35">
      <c r="A209">
        <v>208</v>
      </c>
      <c r="B209">
        <v>31</v>
      </c>
      <c r="C209" t="s">
        <v>14</v>
      </c>
      <c r="D209">
        <v>51000</v>
      </c>
      <c r="E209" t="s">
        <v>15</v>
      </c>
      <c r="F209">
        <v>340</v>
      </c>
      <c r="G209">
        <v>5.6</v>
      </c>
      <c r="H209" t="s">
        <v>17</v>
      </c>
      <c r="I209" t="s">
        <v>3</v>
      </c>
      <c r="J209">
        <v>17</v>
      </c>
      <c r="K209" t="str">
        <f t="shared" si="9"/>
        <v>Medium Spender</v>
      </c>
      <c r="L209" t="str">
        <f t="shared" si="10"/>
        <v>Regular</v>
      </c>
      <c r="M209" t="str">
        <f t="shared" si="11"/>
        <v>Medium Value | Medium Spender | Regular</v>
      </c>
    </row>
    <row r="210" spans="1:13" x14ac:dyDescent="0.35">
      <c r="A210">
        <v>209</v>
      </c>
      <c r="B210">
        <v>42</v>
      </c>
      <c r="C210" t="s">
        <v>23</v>
      </c>
      <c r="D210">
        <v>62000</v>
      </c>
      <c r="E210" t="s">
        <v>19</v>
      </c>
      <c r="F210">
        <v>520</v>
      </c>
      <c r="G210">
        <v>8.1999999999999993</v>
      </c>
      <c r="H210" t="s">
        <v>20</v>
      </c>
      <c r="I210" t="s">
        <v>4</v>
      </c>
      <c r="J210">
        <v>23</v>
      </c>
      <c r="K210" t="str">
        <f t="shared" si="9"/>
        <v>High Spender</v>
      </c>
      <c r="L210" t="str">
        <f t="shared" si="10"/>
        <v>Loyal</v>
      </c>
      <c r="M210" t="str">
        <f t="shared" si="11"/>
        <v>High Value | High Spender | Loyal</v>
      </c>
    </row>
    <row r="211" spans="1:13" x14ac:dyDescent="0.35">
      <c r="A211">
        <v>210</v>
      </c>
      <c r="B211">
        <v>55</v>
      </c>
      <c r="C211" t="s">
        <v>18</v>
      </c>
      <c r="D211">
        <v>75000</v>
      </c>
      <c r="E211" t="s">
        <v>19</v>
      </c>
      <c r="F211">
        <v>640</v>
      </c>
      <c r="G211">
        <v>9.5</v>
      </c>
      <c r="H211" t="s">
        <v>20</v>
      </c>
      <c r="I211" t="s">
        <v>5</v>
      </c>
      <c r="J211">
        <v>28</v>
      </c>
      <c r="K211" t="str">
        <f t="shared" si="9"/>
        <v>High Spender</v>
      </c>
      <c r="L211" t="str">
        <f t="shared" si="10"/>
        <v>Loyal</v>
      </c>
      <c r="M211" t="str">
        <f t="shared" si="11"/>
        <v>High Value | High Spender | Loyal</v>
      </c>
    </row>
    <row r="212" spans="1:13" x14ac:dyDescent="0.35">
      <c r="A212">
        <v>211</v>
      </c>
      <c r="B212">
        <v>29</v>
      </c>
      <c r="C212" t="s">
        <v>14</v>
      </c>
      <c r="D212">
        <v>46000</v>
      </c>
      <c r="E212" t="s">
        <v>15</v>
      </c>
      <c r="F212">
        <v>270</v>
      </c>
      <c r="G212">
        <v>4.3</v>
      </c>
      <c r="H212" t="s">
        <v>16</v>
      </c>
      <c r="I212" t="s">
        <v>3</v>
      </c>
      <c r="J212">
        <v>15</v>
      </c>
      <c r="K212" t="str">
        <f t="shared" si="9"/>
        <v>Medium Spender</v>
      </c>
      <c r="L212" t="str">
        <f t="shared" si="10"/>
        <v>At Risk</v>
      </c>
      <c r="M212" t="str">
        <f t="shared" si="11"/>
        <v>Low Value | Medium Spender | At Risk</v>
      </c>
    </row>
    <row r="213" spans="1:13" x14ac:dyDescent="0.35">
      <c r="A213">
        <v>212</v>
      </c>
      <c r="B213">
        <v>33</v>
      </c>
      <c r="C213" t="s">
        <v>14</v>
      </c>
      <c r="D213">
        <v>53000</v>
      </c>
      <c r="E213" t="s">
        <v>15</v>
      </c>
      <c r="F213">
        <v>380</v>
      </c>
      <c r="G213">
        <v>6</v>
      </c>
      <c r="H213" t="s">
        <v>17</v>
      </c>
      <c r="I213" t="s">
        <v>4</v>
      </c>
      <c r="J213">
        <v>18</v>
      </c>
      <c r="K213" t="str">
        <f t="shared" si="9"/>
        <v>Medium Spender</v>
      </c>
      <c r="L213" t="str">
        <f t="shared" si="10"/>
        <v>Regular</v>
      </c>
      <c r="M213" t="str">
        <f t="shared" si="11"/>
        <v>Medium Value | Medium Spender | Regular</v>
      </c>
    </row>
    <row r="214" spans="1:13" x14ac:dyDescent="0.35">
      <c r="A214">
        <v>213</v>
      </c>
      <c r="B214">
        <v>51</v>
      </c>
      <c r="C214" t="s">
        <v>18</v>
      </c>
      <c r="D214">
        <v>71000</v>
      </c>
      <c r="E214" t="s">
        <v>19</v>
      </c>
      <c r="F214">
        <v>600</v>
      </c>
      <c r="G214">
        <v>9</v>
      </c>
      <c r="H214" t="s">
        <v>20</v>
      </c>
      <c r="I214" t="s">
        <v>5</v>
      </c>
      <c r="J214">
        <v>25</v>
      </c>
      <c r="K214" t="str">
        <f t="shared" si="9"/>
        <v>High Spender</v>
      </c>
      <c r="L214" t="str">
        <f t="shared" si="10"/>
        <v>Loyal</v>
      </c>
      <c r="M214" t="str">
        <f t="shared" si="11"/>
        <v>High Value | High Spender | Loyal</v>
      </c>
    </row>
    <row r="215" spans="1:13" x14ac:dyDescent="0.35">
      <c r="A215">
        <v>214</v>
      </c>
      <c r="B215">
        <v>27</v>
      </c>
      <c r="C215" t="s">
        <v>14</v>
      </c>
      <c r="D215">
        <v>43000</v>
      </c>
      <c r="E215" t="s">
        <v>15</v>
      </c>
      <c r="F215">
        <v>230</v>
      </c>
      <c r="G215">
        <v>4</v>
      </c>
      <c r="H215" t="s">
        <v>16</v>
      </c>
      <c r="I215" t="s">
        <v>3</v>
      </c>
      <c r="J215">
        <v>14</v>
      </c>
      <c r="K215" t="str">
        <f t="shared" si="9"/>
        <v>Low Spender</v>
      </c>
      <c r="L215" t="str">
        <f t="shared" si="10"/>
        <v>At Risk</v>
      </c>
      <c r="M215" t="str">
        <f t="shared" si="11"/>
        <v>Low Value | Low Spender | At Risk</v>
      </c>
    </row>
    <row r="216" spans="1:13" x14ac:dyDescent="0.35">
      <c r="A216">
        <v>215</v>
      </c>
      <c r="B216">
        <v>43</v>
      </c>
      <c r="C216" t="s">
        <v>23</v>
      </c>
      <c r="D216">
        <v>63000</v>
      </c>
      <c r="E216" t="s">
        <v>19</v>
      </c>
      <c r="F216">
        <v>470</v>
      </c>
      <c r="G216">
        <v>7.8</v>
      </c>
      <c r="H216" t="s">
        <v>17</v>
      </c>
      <c r="I216" t="s">
        <v>4</v>
      </c>
      <c r="J216">
        <v>21</v>
      </c>
      <c r="K216" t="str">
        <f t="shared" si="9"/>
        <v>High Spender</v>
      </c>
      <c r="L216" t="str">
        <f t="shared" si="10"/>
        <v>Regular</v>
      </c>
      <c r="M216" t="str">
        <f t="shared" si="11"/>
        <v>Medium Value | High Spender | Regular</v>
      </c>
    </row>
    <row r="217" spans="1:13" x14ac:dyDescent="0.35">
      <c r="A217">
        <v>216</v>
      </c>
      <c r="B217">
        <v>41</v>
      </c>
      <c r="C217" t="s">
        <v>23</v>
      </c>
      <c r="D217">
        <v>61000</v>
      </c>
      <c r="E217" t="s">
        <v>19</v>
      </c>
      <c r="F217">
        <v>480</v>
      </c>
      <c r="G217">
        <v>7.7</v>
      </c>
      <c r="H217" t="s">
        <v>17</v>
      </c>
      <c r="I217" t="s">
        <v>5</v>
      </c>
      <c r="J217">
        <v>22</v>
      </c>
      <c r="K217" t="str">
        <f t="shared" si="9"/>
        <v>High Spender</v>
      </c>
      <c r="L217" t="str">
        <f t="shared" si="10"/>
        <v>Regular</v>
      </c>
      <c r="M217" t="str">
        <f t="shared" si="11"/>
        <v>Medium Value | High Spender | Regular</v>
      </c>
    </row>
    <row r="218" spans="1:13" x14ac:dyDescent="0.35">
      <c r="A218">
        <v>217</v>
      </c>
      <c r="B218">
        <v>50</v>
      </c>
      <c r="C218" t="s">
        <v>18</v>
      </c>
      <c r="D218">
        <v>70000</v>
      </c>
      <c r="E218" t="s">
        <v>19</v>
      </c>
      <c r="F218">
        <v>600</v>
      </c>
      <c r="G218">
        <v>9</v>
      </c>
      <c r="H218" t="s">
        <v>20</v>
      </c>
      <c r="I218" t="s">
        <v>3</v>
      </c>
      <c r="J218">
        <v>25</v>
      </c>
      <c r="K218" t="str">
        <f t="shared" si="9"/>
        <v>High Spender</v>
      </c>
      <c r="L218" t="str">
        <f t="shared" si="10"/>
        <v>Loyal</v>
      </c>
      <c r="M218" t="str">
        <f t="shared" si="11"/>
        <v>High Value | High Spender | Loyal</v>
      </c>
    </row>
    <row r="219" spans="1:13" x14ac:dyDescent="0.35">
      <c r="A219">
        <v>218</v>
      </c>
      <c r="B219">
        <v>24</v>
      </c>
      <c r="C219" t="s">
        <v>21</v>
      </c>
      <c r="D219">
        <v>32000</v>
      </c>
      <c r="E219" t="s">
        <v>22</v>
      </c>
      <c r="F219">
        <v>170</v>
      </c>
      <c r="G219">
        <v>3.3</v>
      </c>
      <c r="H219" t="s">
        <v>16</v>
      </c>
      <c r="I219" t="s">
        <v>4</v>
      </c>
      <c r="J219">
        <v>11</v>
      </c>
      <c r="K219" t="str">
        <f t="shared" si="9"/>
        <v>Low Spender</v>
      </c>
      <c r="L219" t="str">
        <f t="shared" si="10"/>
        <v>At Risk</v>
      </c>
      <c r="M219" t="str">
        <f t="shared" si="11"/>
        <v>Low Value | Low Spender | At Risk</v>
      </c>
    </row>
    <row r="220" spans="1:13" x14ac:dyDescent="0.35">
      <c r="A220">
        <v>219</v>
      </c>
      <c r="B220">
        <v>48</v>
      </c>
      <c r="C220" t="s">
        <v>18</v>
      </c>
      <c r="D220">
        <v>68000</v>
      </c>
      <c r="E220" t="s">
        <v>19</v>
      </c>
      <c r="F220">
        <v>550</v>
      </c>
      <c r="G220">
        <v>8.5</v>
      </c>
      <c r="H220" t="s">
        <v>20</v>
      </c>
      <c r="I220" t="s">
        <v>5</v>
      </c>
      <c r="J220">
        <v>24</v>
      </c>
      <c r="K220" t="str">
        <f t="shared" si="9"/>
        <v>High Spender</v>
      </c>
      <c r="L220" t="str">
        <f t="shared" si="10"/>
        <v>Loyal</v>
      </c>
      <c r="M220" t="str">
        <f t="shared" si="11"/>
        <v>High Value | High Spender | Loyal</v>
      </c>
    </row>
    <row r="221" spans="1:13" x14ac:dyDescent="0.35">
      <c r="A221">
        <v>220</v>
      </c>
      <c r="B221">
        <v>30</v>
      </c>
      <c r="C221" t="s">
        <v>14</v>
      </c>
      <c r="D221">
        <v>49000</v>
      </c>
      <c r="E221" t="s">
        <v>15</v>
      </c>
      <c r="F221">
        <v>300</v>
      </c>
      <c r="G221">
        <v>5</v>
      </c>
      <c r="H221" t="s">
        <v>17</v>
      </c>
      <c r="I221" t="s">
        <v>3</v>
      </c>
      <c r="J221">
        <v>16</v>
      </c>
      <c r="K221" t="str">
        <f t="shared" si="9"/>
        <v>Medium Spender</v>
      </c>
      <c r="L221" t="str">
        <f t="shared" si="10"/>
        <v>Regular</v>
      </c>
      <c r="M221" t="str">
        <f t="shared" si="11"/>
        <v>Medium Value | Medium Spender | Regular</v>
      </c>
    </row>
    <row r="222" spans="1:13" x14ac:dyDescent="0.35">
      <c r="A222">
        <v>221</v>
      </c>
      <c r="B222">
        <v>39</v>
      </c>
      <c r="C222" t="s">
        <v>23</v>
      </c>
      <c r="D222">
        <v>57000</v>
      </c>
      <c r="E222" t="s">
        <v>15</v>
      </c>
      <c r="F222">
        <v>440</v>
      </c>
      <c r="G222">
        <v>7</v>
      </c>
      <c r="H222" t="s">
        <v>17</v>
      </c>
      <c r="I222" t="s">
        <v>4</v>
      </c>
      <c r="J222">
        <v>21</v>
      </c>
      <c r="K222" t="str">
        <f t="shared" si="9"/>
        <v>High Spender</v>
      </c>
      <c r="L222" t="str">
        <f t="shared" si="10"/>
        <v>Regular</v>
      </c>
      <c r="M222" t="str">
        <f t="shared" si="11"/>
        <v>Medium Value | High Spender | Regular</v>
      </c>
    </row>
    <row r="223" spans="1:13" x14ac:dyDescent="0.35">
      <c r="A223">
        <v>222</v>
      </c>
      <c r="B223">
        <v>37</v>
      </c>
      <c r="C223" t="s">
        <v>23</v>
      </c>
      <c r="D223">
        <v>58000</v>
      </c>
      <c r="E223" t="s">
        <v>15</v>
      </c>
      <c r="F223">
        <v>420</v>
      </c>
      <c r="G223">
        <v>6.8</v>
      </c>
      <c r="H223" t="s">
        <v>17</v>
      </c>
      <c r="I223" t="s">
        <v>5</v>
      </c>
      <c r="J223">
        <v>20</v>
      </c>
      <c r="K223" t="str">
        <f t="shared" si="9"/>
        <v>High Spender</v>
      </c>
      <c r="L223" t="str">
        <f t="shared" si="10"/>
        <v>Regular</v>
      </c>
      <c r="M223" t="str">
        <f t="shared" si="11"/>
        <v>Medium Value | High Spender | Regular</v>
      </c>
    </row>
    <row r="224" spans="1:13" x14ac:dyDescent="0.35">
      <c r="A224">
        <v>223</v>
      </c>
      <c r="B224">
        <v>46</v>
      </c>
      <c r="C224" t="s">
        <v>18</v>
      </c>
      <c r="D224">
        <v>66000</v>
      </c>
      <c r="E224" t="s">
        <v>19</v>
      </c>
      <c r="F224">
        <v>510</v>
      </c>
      <c r="G224">
        <v>8.1</v>
      </c>
      <c r="H224" t="s">
        <v>20</v>
      </c>
      <c r="I224" t="s">
        <v>3</v>
      </c>
      <c r="J224">
        <v>22</v>
      </c>
      <c r="K224" t="str">
        <f t="shared" si="9"/>
        <v>High Spender</v>
      </c>
      <c r="L224" t="str">
        <f t="shared" si="10"/>
        <v>Loyal</v>
      </c>
      <c r="M224" t="str">
        <f t="shared" si="11"/>
        <v>High Value | High Spender | Loyal</v>
      </c>
    </row>
    <row r="225" spans="1:13" x14ac:dyDescent="0.35">
      <c r="A225">
        <v>224</v>
      </c>
      <c r="B225">
        <v>33</v>
      </c>
      <c r="C225" t="s">
        <v>14</v>
      </c>
      <c r="D225">
        <v>53000</v>
      </c>
      <c r="E225" t="s">
        <v>15</v>
      </c>
      <c r="F225">
        <v>380</v>
      </c>
      <c r="G225">
        <v>6</v>
      </c>
      <c r="H225" t="s">
        <v>17</v>
      </c>
      <c r="I225" t="s">
        <v>4</v>
      </c>
      <c r="J225">
        <v>18</v>
      </c>
      <c r="K225" t="str">
        <f t="shared" si="9"/>
        <v>Medium Spender</v>
      </c>
      <c r="L225" t="str">
        <f t="shared" si="10"/>
        <v>Regular</v>
      </c>
      <c r="M225" t="str">
        <f t="shared" si="11"/>
        <v>Medium Value | Medium Spender | Regular</v>
      </c>
    </row>
    <row r="226" spans="1:13" x14ac:dyDescent="0.35">
      <c r="A226">
        <v>225</v>
      </c>
      <c r="B226">
        <v>52</v>
      </c>
      <c r="C226" t="s">
        <v>18</v>
      </c>
      <c r="D226">
        <v>72000</v>
      </c>
      <c r="E226" t="s">
        <v>19</v>
      </c>
      <c r="F226">
        <v>610</v>
      </c>
      <c r="G226">
        <v>9.1999999999999993</v>
      </c>
      <c r="H226" t="s">
        <v>20</v>
      </c>
      <c r="I226" t="s">
        <v>5</v>
      </c>
      <c r="J226">
        <v>26</v>
      </c>
      <c r="K226" t="str">
        <f t="shared" si="9"/>
        <v>High Spender</v>
      </c>
      <c r="L226" t="str">
        <f t="shared" si="10"/>
        <v>Loyal</v>
      </c>
      <c r="M226" t="str">
        <f t="shared" si="11"/>
        <v>High Value | High Spender | Loyal</v>
      </c>
    </row>
    <row r="227" spans="1:13" x14ac:dyDescent="0.35">
      <c r="A227">
        <v>226</v>
      </c>
      <c r="B227">
        <v>28</v>
      </c>
      <c r="C227" t="s">
        <v>14</v>
      </c>
      <c r="D227">
        <v>46000</v>
      </c>
      <c r="E227" t="s">
        <v>15</v>
      </c>
      <c r="F227">
        <v>250</v>
      </c>
      <c r="G227">
        <v>4.2</v>
      </c>
      <c r="H227" t="s">
        <v>16</v>
      </c>
      <c r="I227" t="s">
        <v>3</v>
      </c>
      <c r="J227">
        <v>14</v>
      </c>
      <c r="K227" t="str">
        <f t="shared" si="9"/>
        <v>Medium Spender</v>
      </c>
      <c r="L227" t="str">
        <f t="shared" si="10"/>
        <v>At Risk</v>
      </c>
      <c r="M227" t="str">
        <f t="shared" si="11"/>
        <v>Low Value | Medium Spender | At Risk</v>
      </c>
    </row>
    <row r="228" spans="1:13" x14ac:dyDescent="0.35">
      <c r="A228">
        <v>227</v>
      </c>
      <c r="B228">
        <v>41</v>
      </c>
      <c r="C228" t="s">
        <v>23</v>
      </c>
      <c r="D228">
        <v>61000</v>
      </c>
      <c r="E228" t="s">
        <v>19</v>
      </c>
      <c r="F228">
        <v>480</v>
      </c>
      <c r="G228">
        <v>7.8</v>
      </c>
      <c r="H228" t="s">
        <v>17</v>
      </c>
      <c r="I228" t="s">
        <v>4</v>
      </c>
      <c r="J228">
        <v>21</v>
      </c>
      <c r="K228" t="str">
        <f t="shared" si="9"/>
        <v>High Spender</v>
      </c>
      <c r="L228" t="str">
        <f t="shared" si="10"/>
        <v>Regular</v>
      </c>
      <c r="M228" t="str">
        <f t="shared" si="11"/>
        <v>Medium Value | High Spender | Regular</v>
      </c>
    </row>
    <row r="229" spans="1:13" x14ac:dyDescent="0.35">
      <c r="A229">
        <v>228</v>
      </c>
      <c r="B229">
        <v>50</v>
      </c>
      <c r="C229" t="s">
        <v>18</v>
      </c>
      <c r="D229">
        <v>70000</v>
      </c>
      <c r="E229" t="s">
        <v>19</v>
      </c>
      <c r="F229">
        <v>600</v>
      </c>
      <c r="G229">
        <v>9</v>
      </c>
      <c r="H229" t="s">
        <v>20</v>
      </c>
      <c r="I229" t="s">
        <v>5</v>
      </c>
      <c r="J229">
        <v>25</v>
      </c>
      <c r="K229" t="str">
        <f t="shared" si="9"/>
        <v>High Spender</v>
      </c>
      <c r="L229" t="str">
        <f t="shared" si="10"/>
        <v>Loyal</v>
      </c>
      <c r="M229" t="str">
        <f t="shared" si="11"/>
        <v>High Value | High Spender | Loyal</v>
      </c>
    </row>
    <row r="230" spans="1:13" x14ac:dyDescent="0.35">
      <c r="A230">
        <v>229</v>
      </c>
      <c r="B230">
        <v>36</v>
      </c>
      <c r="C230" t="s">
        <v>23</v>
      </c>
      <c r="D230">
        <v>54000</v>
      </c>
      <c r="E230" t="s">
        <v>15</v>
      </c>
      <c r="F230">
        <v>400</v>
      </c>
      <c r="G230">
        <v>6.5</v>
      </c>
      <c r="H230" t="s">
        <v>17</v>
      </c>
      <c r="I230" t="s">
        <v>3</v>
      </c>
      <c r="J230">
        <v>19</v>
      </c>
      <c r="K230" t="str">
        <f t="shared" si="9"/>
        <v>High Spender</v>
      </c>
      <c r="L230" t="str">
        <f t="shared" si="10"/>
        <v>Regular</v>
      </c>
      <c r="M230" t="str">
        <f t="shared" si="11"/>
        <v>Medium Value | High Spender | Regular</v>
      </c>
    </row>
    <row r="231" spans="1:13" x14ac:dyDescent="0.35">
      <c r="A231">
        <v>230</v>
      </c>
      <c r="B231">
        <v>24</v>
      </c>
      <c r="C231" t="s">
        <v>21</v>
      </c>
      <c r="D231">
        <v>32000</v>
      </c>
      <c r="E231" t="s">
        <v>22</v>
      </c>
      <c r="F231">
        <v>170</v>
      </c>
      <c r="G231">
        <v>3.3</v>
      </c>
      <c r="H231" t="s">
        <v>16</v>
      </c>
      <c r="I231" t="s">
        <v>4</v>
      </c>
      <c r="J231">
        <v>11</v>
      </c>
      <c r="K231" t="str">
        <f t="shared" si="9"/>
        <v>Low Spender</v>
      </c>
      <c r="L231" t="str">
        <f t="shared" si="10"/>
        <v>At Risk</v>
      </c>
      <c r="M231" t="str">
        <f t="shared" si="11"/>
        <v>Low Value | Low Spender | At Risk</v>
      </c>
    </row>
    <row r="232" spans="1:13" x14ac:dyDescent="0.35">
      <c r="A232">
        <v>231</v>
      </c>
      <c r="B232">
        <v>49</v>
      </c>
      <c r="C232" t="s">
        <v>18</v>
      </c>
      <c r="D232">
        <v>69000</v>
      </c>
      <c r="E232" t="s">
        <v>19</v>
      </c>
      <c r="F232">
        <v>590</v>
      </c>
      <c r="G232">
        <v>8.9</v>
      </c>
      <c r="H232" t="s">
        <v>20</v>
      </c>
      <c r="I232" t="s">
        <v>5</v>
      </c>
      <c r="J232">
        <v>24</v>
      </c>
      <c r="K232" t="str">
        <f t="shared" si="9"/>
        <v>High Spender</v>
      </c>
      <c r="L232" t="str">
        <f t="shared" si="10"/>
        <v>Loyal</v>
      </c>
      <c r="M232" t="str">
        <f t="shared" si="11"/>
        <v>High Value | High Spender | Loyal</v>
      </c>
    </row>
    <row r="233" spans="1:13" x14ac:dyDescent="0.35">
      <c r="A233">
        <v>232</v>
      </c>
      <c r="B233">
        <v>26</v>
      </c>
      <c r="C233" t="s">
        <v>14</v>
      </c>
      <c r="D233">
        <v>44000</v>
      </c>
      <c r="E233" t="s">
        <v>15</v>
      </c>
      <c r="F233">
        <v>240</v>
      </c>
      <c r="G233">
        <v>4.3</v>
      </c>
      <c r="H233" t="s">
        <v>16</v>
      </c>
      <c r="I233" t="s">
        <v>3</v>
      </c>
      <c r="J233">
        <v>14</v>
      </c>
      <c r="K233" t="str">
        <f t="shared" si="9"/>
        <v>Low Spender</v>
      </c>
      <c r="L233" t="str">
        <f t="shared" si="10"/>
        <v>At Risk</v>
      </c>
      <c r="M233" t="str">
        <f t="shared" si="11"/>
        <v>Low Value | Low Spender | At Risk</v>
      </c>
    </row>
    <row r="234" spans="1:13" x14ac:dyDescent="0.35">
      <c r="A234">
        <v>233</v>
      </c>
      <c r="B234">
        <v>45</v>
      </c>
      <c r="C234" t="s">
        <v>18</v>
      </c>
      <c r="D234">
        <v>65000</v>
      </c>
      <c r="E234" t="s">
        <v>19</v>
      </c>
      <c r="F234">
        <v>500</v>
      </c>
      <c r="G234">
        <v>8</v>
      </c>
      <c r="H234" t="s">
        <v>20</v>
      </c>
      <c r="I234" t="s">
        <v>4</v>
      </c>
      <c r="J234">
        <v>22</v>
      </c>
      <c r="K234" t="str">
        <f t="shared" si="9"/>
        <v>High Spender</v>
      </c>
      <c r="L234" t="str">
        <f t="shared" si="10"/>
        <v>Loyal</v>
      </c>
      <c r="M234" t="str">
        <f t="shared" si="11"/>
        <v>High Value | High Spender | Loyal</v>
      </c>
    </row>
    <row r="235" spans="1:13" x14ac:dyDescent="0.35">
      <c r="A235">
        <v>234</v>
      </c>
      <c r="B235">
        <v>40</v>
      </c>
      <c r="C235" t="s">
        <v>23</v>
      </c>
      <c r="D235">
        <v>60000</v>
      </c>
      <c r="E235" t="s">
        <v>19</v>
      </c>
      <c r="F235">
        <v>450</v>
      </c>
      <c r="G235">
        <v>7.2</v>
      </c>
      <c r="H235" t="s">
        <v>17</v>
      </c>
      <c r="I235" t="s">
        <v>5</v>
      </c>
      <c r="J235">
        <v>20</v>
      </c>
      <c r="K235" t="str">
        <f t="shared" si="9"/>
        <v>High Spender</v>
      </c>
      <c r="L235" t="str">
        <f t="shared" si="10"/>
        <v>Regular</v>
      </c>
      <c r="M235" t="str">
        <f t="shared" si="11"/>
        <v>Medium Value | High Spender | Regular</v>
      </c>
    </row>
    <row r="236" spans="1:13" x14ac:dyDescent="0.35">
      <c r="A236">
        <v>235</v>
      </c>
      <c r="B236">
        <v>38</v>
      </c>
      <c r="C236" t="s">
        <v>23</v>
      </c>
      <c r="D236">
        <v>59000</v>
      </c>
      <c r="E236" t="s">
        <v>15</v>
      </c>
      <c r="F236">
        <v>430</v>
      </c>
      <c r="G236">
        <v>6.9</v>
      </c>
      <c r="H236" t="s">
        <v>17</v>
      </c>
      <c r="I236" t="s">
        <v>3</v>
      </c>
      <c r="J236">
        <v>20</v>
      </c>
      <c r="K236" t="str">
        <f t="shared" si="9"/>
        <v>High Spender</v>
      </c>
      <c r="L236" t="str">
        <f t="shared" si="10"/>
        <v>Regular</v>
      </c>
      <c r="M236" t="str">
        <f t="shared" si="11"/>
        <v>Medium Value | High Spender | Regular</v>
      </c>
    </row>
    <row r="237" spans="1:13" x14ac:dyDescent="0.35">
      <c r="A237">
        <v>236</v>
      </c>
      <c r="B237">
        <v>54</v>
      </c>
      <c r="C237" t="s">
        <v>18</v>
      </c>
      <c r="D237">
        <v>74000</v>
      </c>
      <c r="E237" t="s">
        <v>19</v>
      </c>
      <c r="F237">
        <v>630</v>
      </c>
      <c r="G237">
        <v>9.4</v>
      </c>
      <c r="H237" t="s">
        <v>20</v>
      </c>
      <c r="I237" t="s">
        <v>4</v>
      </c>
      <c r="J237">
        <v>27</v>
      </c>
      <c r="K237" t="str">
        <f t="shared" si="9"/>
        <v>High Spender</v>
      </c>
      <c r="L237" t="str">
        <f t="shared" si="10"/>
        <v>Loyal</v>
      </c>
      <c r="M237" t="str">
        <f t="shared" si="11"/>
        <v>High Value | High Spender | Loyal</v>
      </c>
    </row>
    <row r="238" spans="1:13" x14ac:dyDescent="0.35">
      <c r="A238">
        <v>237</v>
      </c>
      <c r="B238">
        <v>32</v>
      </c>
      <c r="C238" t="s">
        <v>14</v>
      </c>
      <c r="D238">
        <v>52000</v>
      </c>
      <c r="E238" t="s">
        <v>15</v>
      </c>
      <c r="F238">
        <v>360</v>
      </c>
      <c r="G238">
        <v>5.8</v>
      </c>
      <c r="H238" t="s">
        <v>17</v>
      </c>
      <c r="I238" t="s">
        <v>5</v>
      </c>
      <c r="J238">
        <v>18</v>
      </c>
      <c r="K238" t="str">
        <f t="shared" si="9"/>
        <v>Medium Spender</v>
      </c>
      <c r="L238" t="str">
        <f t="shared" si="10"/>
        <v>Regular</v>
      </c>
      <c r="M238" t="str">
        <f t="shared" si="11"/>
        <v>Medium Value | Medium Spender | Regular</v>
      </c>
    </row>
    <row r="239" spans="1:13" x14ac:dyDescent="0.35">
      <c r="A239">
        <v>238</v>
      </c>
      <c r="B239">
        <v>31</v>
      </c>
      <c r="D239">
        <v>51000</v>
      </c>
      <c r="E239" t="s">
        <v>15</v>
      </c>
      <c r="F239">
        <v>340</v>
      </c>
      <c r="G239">
        <v>5.6</v>
      </c>
      <c r="H239" t="s">
        <v>17</v>
      </c>
      <c r="I239" t="s">
        <v>3</v>
      </c>
      <c r="J239">
        <v>17</v>
      </c>
      <c r="K239" t="str">
        <f t="shared" si="9"/>
        <v>Medium Spender</v>
      </c>
      <c r="L239" t="str">
        <f t="shared" si="10"/>
        <v>Regular</v>
      </c>
      <c r="M239" t="str">
        <f t="shared" si="11"/>
        <v>Medium Value | Medium Spender | Regular</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82BA-EEE7-4F61-B3A4-993BDC7DD4A6}">
  <dimension ref="A1:B5"/>
  <sheetViews>
    <sheetView workbookViewId="0">
      <selection activeCell="A5" sqref="A5"/>
    </sheetView>
  </sheetViews>
  <sheetFormatPr defaultRowHeight="14.5" x14ac:dyDescent="0.35"/>
  <cols>
    <col min="1" max="1" width="25.453125" customWidth="1"/>
  </cols>
  <sheetData>
    <row r="1" spans="1:2" x14ac:dyDescent="0.35">
      <c r="A1" t="s">
        <v>27</v>
      </c>
      <c r="B1">
        <f>COUNTA(Feature_Engineering!A:A)</f>
        <v>239</v>
      </c>
    </row>
    <row r="2" spans="1:2" x14ac:dyDescent="0.35">
      <c r="A2" t="s">
        <v>28</v>
      </c>
      <c r="B2">
        <f>AVERAGE(Feature_Engineering!F:F)</f>
        <v>425.63025210084032</v>
      </c>
    </row>
    <row r="3" spans="1:2" x14ac:dyDescent="0.35">
      <c r="A3" t="s">
        <v>29</v>
      </c>
      <c r="B3">
        <f>AVERAGE(Feature_Engineering!G:G)</f>
        <v>6.7941176470588207</v>
      </c>
    </row>
    <row r="4" spans="1:2" x14ac:dyDescent="0.35">
      <c r="A4" t="s">
        <v>30</v>
      </c>
      <c r="B4">
        <f>MAX(Feature_Engineering!F:F)</f>
        <v>640</v>
      </c>
    </row>
    <row r="5" spans="1:2" x14ac:dyDescent="0.35">
      <c r="A5" t="s">
        <v>31</v>
      </c>
      <c r="B5">
        <f>MIN(Feature_Engineering!F:F)</f>
        <v>150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9B0B-0706-45D8-9F60-983212C71625}">
  <dimension ref="C2:D12"/>
  <sheetViews>
    <sheetView showGridLines="0" workbookViewId="0">
      <selection activeCell="N12" sqref="N12"/>
    </sheetView>
  </sheetViews>
  <sheetFormatPr defaultRowHeight="14.5" x14ac:dyDescent="0.35"/>
  <sheetData>
    <row r="2" spans="3:4" ht="21" x14ac:dyDescent="0.5">
      <c r="D2" s="9" t="s">
        <v>51</v>
      </c>
    </row>
    <row r="4" spans="3:4" x14ac:dyDescent="0.35">
      <c r="C4">
        <v>1</v>
      </c>
      <c r="D4" t="s">
        <v>52</v>
      </c>
    </row>
    <row r="6" spans="3:4" x14ac:dyDescent="0.35">
      <c r="C6">
        <v>2</v>
      </c>
      <c r="D6" t="s">
        <v>53</v>
      </c>
    </row>
    <row r="8" spans="3:4" x14ac:dyDescent="0.35">
      <c r="C8">
        <v>3</v>
      </c>
      <c r="D8" t="s">
        <v>54</v>
      </c>
    </row>
    <row r="10" spans="3:4" x14ac:dyDescent="0.35">
      <c r="C10">
        <v>4</v>
      </c>
      <c r="D10" t="s">
        <v>55</v>
      </c>
    </row>
    <row r="12" spans="3:4" x14ac:dyDescent="0.35">
      <c r="C12">
        <v>5</v>
      </c>
      <c r="D12" t="s">
        <v>56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7320-2EB0-4D7E-991C-FCFB2B122430}">
  <dimension ref="A1"/>
  <sheetViews>
    <sheetView workbookViewId="0"/>
  </sheetViews>
  <sheetFormatPr defaultRowHeight="14.5" x14ac:dyDescent="0.3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6EBE77-8C2A-4B90-9EA7-E9A10A655B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Project Summary</vt:lpstr>
      <vt:lpstr>PQ_Cleaned_Data</vt:lpstr>
      <vt:lpstr>tbl_raw</vt:lpstr>
      <vt:lpstr>Customer Purchasing Behaviors</vt:lpstr>
      <vt:lpstr>Pivot_Region_Revenue</vt:lpstr>
      <vt:lpstr>Pivot_Age_Customers</vt:lpstr>
      <vt:lpstr>Pivot_Income_Revenue</vt:lpstr>
      <vt:lpstr>PivotCustomer Status Count</vt:lpstr>
      <vt:lpstr>Dashboard</vt:lpstr>
      <vt:lpstr>Insights</vt:lpstr>
      <vt:lpstr>Feature_Engineering</vt:lpstr>
      <vt:lpstr>Summary</vt:lpstr>
      <vt:lpstr>Recomendations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Praharsha Mallisetty</dc:creator>
  <cp:lastModifiedBy>Praharsha Mallisetty</cp:lastModifiedBy>
  <cp:lastPrinted>2026-03-18T06:58:51Z</cp:lastPrinted>
  <dcterms:created xsi:type="dcterms:W3CDTF">2026-02-02T04:31:00Z</dcterms:created>
  <dcterms:modified xsi:type="dcterms:W3CDTF">2026-03-29T13:19:34Z</dcterms:modified>
</cp:coreProperties>
</file>